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cases" sheetId="2" state="visible" r:id="rId2"/>
    <sheet name="Logins" sheetId="3" state="visible" r:id="rId3"/>
    <sheet name="Test data" sheetId="4" state="visible" r:id="rId4"/>
    <sheet name="Bugs" sheetId="5" state="visible" r:id="rId5"/>
    <sheet name="Summary" sheetId="6" state="visible" r:id="rId6"/>
  </sheets>
  <definedNames>
    <definedName name="_xlnm._FilterDatabase" localSheetId="1" hidden="1">'Test cases'!$A$1:$M$117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8102E"/>
      <sz val="16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ont>
        <b val="1"/>
        <color rgb="00C810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Signal School – manual testing</t>
        </is>
      </c>
    </row>
    <row r="2">
      <c r="A2" s="2" t="inlineStr">
        <is>
          <t>Read the PDF guide first (Signal-School-QA-Guide.pdf). It explains the school, the app and how to test.</t>
        </is>
      </c>
    </row>
    <row r="3">
      <c r="A3" s="2" t="inlineStr"/>
    </row>
    <row r="4">
      <c r="A4" s="3" t="inlineStr">
        <is>
          <t>How to use this file</t>
        </is>
      </c>
    </row>
    <row r="5">
      <c r="A5" s="2" t="inlineStr">
        <is>
          <t>1. Go to the sheet "Test cases". Do the tests from top to bottom (some tests use what an earlier test did).</t>
        </is>
      </c>
    </row>
    <row r="6">
      <c r="A6" s="2" t="inlineStr">
        <is>
          <t>2. For each row: log in as the person in "Who logs in" (see sheet "Logins"), follow "Steps", use "Test data".</t>
        </is>
      </c>
    </row>
    <row r="7">
      <c r="A7" s="2" t="inlineStr">
        <is>
          <t>3. Compare what you see with "Expected result". Choose a Status: Pass, Fail, Blocked or Skipped.</t>
        </is>
      </c>
    </row>
    <row r="8">
      <c r="A8" s="2" t="inlineStr">
        <is>
          <t>4. Write anything odd in "Comments" – even small things (a word cut off, a slow page, a confusing button).</t>
        </is>
      </c>
    </row>
    <row r="9">
      <c r="A9" s="2" t="inlineStr">
        <is>
          <t>5. For every Fail, add a row in the sheet "Bugs" with a screenshot name. Put the screenshots in one folder.</t>
        </is>
      </c>
    </row>
    <row r="10">
      <c r="A10" s="2" t="inlineStr">
        <is>
          <t>6. The sheet "Summary" counts Pass / Fail automatically.</t>
        </is>
      </c>
    </row>
    <row r="11">
      <c r="A11" s="2" t="inlineStr"/>
    </row>
    <row r="12">
      <c r="A12" s="3" t="inlineStr">
        <is>
          <t>Status meaning</t>
        </is>
      </c>
    </row>
    <row r="13">
      <c r="A13" s="2" t="inlineStr">
        <is>
          <t>Pass – works as written.   Fail – something is different or broken.   Blocked – could not test (e.g. earlier step failed).</t>
        </is>
      </c>
    </row>
    <row r="14">
      <c r="A14" s="2" t="inlineStr">
        <is>
          <t>Skipped – not tested on purpose (write why).   Not run – not done yet.</t>
        </is>
      </c>
    </row>
    <row r="15">
      <c r="A15" s="2" t="inlineStr"/>
    </row>
    <row r="16">
      <c r="A16" s="3" t="inlineStr">
        <is>
          <t>Good to know</t>
        </is>
      </c>
    </row>
    <row r="17">
      <c r="A17" s="2" t="inlineStr">
        <is>
          <t>• "Phone" tests: use a real Android phone with Chrome. "Computer" tests: Chrome on a laptop/desktop. "Phone + Computer": do both.</t>
        </is>
      </c>
    </row>
    <row r="18">
      <c r="A18" s="2" t="inlineStr">
        <is>
          <t>• The files to upload (photos, Excel sheets) are in the folder "test-files" next to this file. Copy them to the phone first.</t>
        </is>
      </c>
    </row>
    <row r="19">
      <c r="A19" s="2" t="inlineStr">
        <is>
          <t>• The children and people are made-up test data. Change and add things freely.</t>
        </is>
      </c>
    </row>
    <row r="20">
      <c r="A20" s="2" t="inlineStr">
        <is>
          <t>• If the data gets mixed up and tests cannot continue, ask for a "test data reset" (everything goes back to the start).</t>
        </is>
      </c>
    </row>
    <row r="21">
      <c r="A21" s="2" t="inlineStr">
        <is>
          <t>• Never use real children's names, photos or phone numbers while testing.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2" customWidth="1" min="4" max="4"/>
    <col width="26" customWidth="1" min="5" max="5"/>
    <col width="48" customWidth="1" min="6" max="6"/>
    <col width="26" customWidth="1" min="7" max="7"/>
    <col width="52" customWidth="1" min="8" max="8"/>
    <col width="9" customWidth="1" min="9" max="9"/>
    <col width="11" customWidth="1" min="10" max="10"/>
    <col width="34" customWidth="1" min="11" max="11"/>
    <col width="13" customWidth="1" min="12" max="12"/>
    <col width="12" customWidth="1" min="13" max="13"/>
  </cols>
  <sheetData>
    <row r="1" ht="30" customHeight="1">
      <c r="A1" s="4" t="inlineStr">
        <is>
          <t>ID</t>
        </is>
      </c>
      <c r="B1" s="4" t="inlineStr">
        <is>
          <t>Area</t>
        </is>
      </c>
      <c r="C1" s="4" t="inlineStr">
        <is>
          <t>Who logs in</t>
        </is>
      </c>
      <c r="D1" s="4" t="inlineStr">
        <is>
          <t>Device</t>
        </is>
      </c>
      <c r="E1" s="4" t="inlineStr">
        <is>
          <t>Where (screen / path)</t>
        </is>
      </c>
      <c r="F1" s="4" t="inlineStr">
        <is>
          <t>Steps</t>
        </is>
      </c>
      <c r="G1" s="4" t="inlineStr">
        <is>
          <t>Test data</t>
        </is>
      </c>
      <c r="H1" s="4" t="inlineStr">
        <is>
          <t>Expected result</t>
        </is>
      </c>
      <c r="I1" s="4" t="inlineStr">
        <is>
          <t>Priority</t>
        </is>
      </c>
      <c r="J1" s="4" t="inlineStr">
        <is>
          <t>Status</t>
        </is>
      </c>
      <c r="K1" s="4" t="inlineStr">
        <is>
          <t>Comments</t>
        </is>
      </c>
      <c r="L1" s="4" t="inlineStr">
        <is>
          <t>Tested on (date)</t>
        </is>
      </c>
      <c r="M1" s="4" t="inlineStr">
        <is>
          <t>Tester</t>
        </is>
      </c>
    </row>
    <row r="2">
      <c r="A2" s="5" t="inlineStr">
        <is>
          <t>LG-01</t>
        </is>
      </c>
      <c r="B2" s="5" t="inlineStr">
        <is>
          <t>Login</t>
        </is>
      </c>
      <c r="C2" s="5" t="inlineStr">
        <is>
          <t>—</t>
        </is>
      </c>
      <c r="D2" s="5" t="inlineStr">
        <is>
          <t>Phone</t>
        </is>
      </c>
      <c r="E2" s="5" t="inlineStr">
        <is>
          <t>Open the app link</t>
        </is>
      </c>
      <c r="F2" s="5" t="inlineStr">
        <is>
          <t>Open the link for the first time. Tap "मराठी", then "हिंदी", then "ગુજરાતી", then "English".</t>
        </is>
      </c>
      <c r="G2" s="5" t="inlineStr"/>
      <c r="H2" s="5" t="inlineStr">
        <is>
          <t>The login screen changes language each time you tap. Logo, "Signal School" and the Log in box are visible without zooming.</t>
        </is>
      </c>
      <c r="I2" s="5" t="inlineStr">
        <is>
          <t>High</t>
        </is>
      </c>
      <c r="J2" s="5" t="inlineStr">
        <is>
          <t>Not run</t>
        </is>
      </c>
      <c r="K2" s="5" t="inlineStr"/>
      <c r="L2" s="5" t="inlineStr"/>
      <c r="M2" s="5" t="inlineStr"/>
    </row>
    <row r="3">
      <c r="A3" s="5" t="inlineStr">
        <is>
          <t>LG-02</t>
        </is>
      </c>
      <c r="B3" s="5" t="inlineStr">
        <is>
          <t>Login</t>
        </is>
      </c>
      <c r="C3" s="5" t="inlineStr">
        <is>
          <t>Teacher (email)</t>
        </is>
      </c>
      <c r="D3" s="5" t="inlineStr">
        <is>
          <t>Phone</t>
        </is>
      </c>
      <c r="E3" s="5" t="inlineStr">
        <is>
          <t>Login screen</t>
        </is>
      </c>
      <c r="F3" s="5" t="inlineStr">
        <is>
          <t>Type the email and password, tap "Log in".</t>
        </is>
      </c>
      <c r="G3" s="5" t="inlineStr">
        <is>
          <t>sunita@demo.test / password123</t>
        </is>
      </c>
      <c r="H3" s="5" t="inlineStr">
        <is>
          <t>Opens the "Today" page with "Namaste, Sunita".</t>
        </is>
      </c>
      <c r="I3" s="5" t="inlineStr">
        <is>
          <t>High</t>
        </is>
      </c>
      <c r="J3" s="5" t="inlineStr">
        <is>
          <t>Not run</t>
        </is>
      </c>
      <c r="K3" s="5" t="inlineStr"/>
      <c r="L3" s="5" t="inlineStr"/>
      <c r="M3" s="5" t="inlineStr"/>
    </row>
    <row r="4">
      <c r="A4" s="5" t="inlineStr">
        <is>
          <t>LG-03</t>
        </is>
      </c>
      <c r="B4" s="5" t="inlineStr">
        <is>
          <t>Login</t>
        </is>
      </c>
      <c r="C4" s="5" t="inlineStr">
        <is>
          <t>Teacher (mobile)</t>
        </is>
      </c>
      <c r="D4" s="5" t="inlineStr">
        <is>
          <t>Phone</t>
        </is>
      </c>
      <c r="E4" s="5" t="inlineStr">
        <is>
          <t>Login screen</t>
        </is>
      </c>
      <c r="F4" s="5" t="inlineStr">
        <is>
          <t>Log out. Log in with the mobile number instead of email.</t>
        </is>
      </c>
      <c r="G4" s="5" t="inlineStr">
        <is>
          <t>9820000004 / password123</t>
        </is>
      </c>
      <c r="H4" s="5" t="inlineStr">
        <is>
          <t>Opens the "Today" page with "Namaste, Sunita".</t>
        </is>
      </c>
      <c r="I4" s="5" t="inlineStr">
        <is>
          <t>High</t>
        </is>
      </c>
      <c r="J4" s="5" t="inlineStr">
        <is>
          <t>Not run</t>
        </is>
      </c>
      <c r="K4" s="5" t="inlineStr"/>
      <c r="L4" s="5" t="inlineStr"/>
      <c r="M4" s="5" t="inlineStr"/>
    </row>
    <row r="5">
      <c r="A5" s="5" t="inlineStr">
        <is>
          <t>LG-04</t>
        </is>
      </c>
      <c r="B5" s="5" t="inlineStr">
        <is>
          <t>Login</t>
        </is>
      </c>
      <c r="C5" s="5" t="inlineStr">
        <is>
          <t>Teacher</t>
        </is>
      </c>
      <c r="D5" s="5" t="inlineStr">
        <is>
          <t>Phone</t>
        </is>
      </c>
      <c r="E5" s="5" t="inlineStr">
        <is>
          <t>Login screen</t>
        </is>
      </c>
      <c r="F5" s="5" t="inlineStr">
        <is>
          <t>Type a wrong password and tap "Log in".</t>
        </is>
      </c>
      <c r="G5" s="5" t="inlineStr">
        <is>
          <t>sunita@demo.test / wrong123</t>
        </is>
      </c>
      <c r="H5" s="5" t="inlineStr">
        <is>
          <t>Red message "Wrong mobile number/email or password". You stay on the login screen.</t>
        </is>
      </c>
      <c r="I5" s="5" t="inlineStr">
        <is>
          <t>High</t>
        </is>
      </c>
      <c r="J5" s="5" t="inlineStr">
        <is>
          <t>Not run</t>
        </is>
      </c>
      <c r="K5" s="5" t="inlineStr"/>
      <c r="L5" s="5" t="inlineStr"/>
      <c r="M5" s="5" t="inlineStr"/>
    </row>
    <row r="6">
      <c r="A6" s="5" t="inlineStr">
        <is>
          <t>LG-05</t>
        </is>
      </c>
      <c r="B6" s="5" t="inlineStr">
        <is>
          <t>Login</t>
        </is>
      </c>
      <c r="C6" s="5" t="inlineStr">
        <is>
          <t>—</t>
        </is>
      </c>
      <c r="D6" s="5" t="inlineStr">
        <is>
          <t>Phone</t>
        </is>
      </c>
      <c r="E6" s="5" t="inlineStr">
        <is>
          <t>Login screen</t>
        </is>
      </c>
      <c r="F6" s="5" t="inlineStr">
        <is>
          <t>Leave both boxes empty and tap "Log in".</t>
        </is>
      </c>
      <c r="G6" s="5" t="inlineStr"/>
      <c r="H6" s="5" t="inlineStr">
        <is>
          <t>You are not logged in. The empty boxes are marked as needed.</t>
        </is>
      </c>
      <c r="I6" s="5" t="inlineStr">
        <is>
          <t>Medium</t>
        </is>
      </c>
      <c r="J6" s="5" t="inlineStr">
        <is>
          <t>Not run</t>
        </is>
      </c>
      <c r="K6" s="5" t="inlineStr"/>
      <c r="L6" s="5" t="inlineStr"/>
      <c r="M6" s="5" t="inlineStr"/>
    </row>
    <row r="7">
      <c r="A7" s="5" t="inlineStr">
        <is>
          <t>LG-06</t>
        </is>
      </c>
      <c r="B7" s="5" t="inlineStr">
        <is>
          <t>Login</t>
        </is>
      </c>
      <c r="C7" s="5" t="inlineStr">
        <is>
          <t>—</t>
        </is>
      </c>
      <c r="D7" s="5" t="inlineStr">
        <is>
          <t>Phone</t>
        </is>
      </c>
      <c r="E7" s="5" t="inlineStr">
        <is>
          <t>Login screen</t>
        </is>
      </c>
      <c r="F7" s="5" t="inlineStr">
        <is>
          <t>Type a password. Tap the eye icon, then tap it again.</t>
        </is>
      </c>
      <c r="G7" s="5" t="inlineStr">
        <is>
          <t>any</t>
        </is>
      </c>
      <c r="H7" s="5" t="inlineStr">
        <is>
          <t>The password shows as letters, then hides again as dots.</t>
        </is>
      </c>
      <c r="I7" s="5" t="inlineStr">
        <is>
          <t>Low</t>
        </is>
      </c>
      <c r="J7" s="5" t="inlineStr">
        <is>
          <t>Not run</t>
        </is>
      </c>
      <c r="K7" s="5" t="inlineStr"/>
      <c r="L7" s="5" t="inlineStr"/>
      <c r="M7" s="5" t="inlineStr"/>
    </row>
    <row r="8">
      <c r="A8" s="5" t="inlineStr">
        <is>
          <t>LG-07</t>
        </is>
      </c>
      <c r="B8" s="5" t="inlineStr">
        <is>
          <t>Login</t>
        </is>
      </c>
      <c r="C8" s="5" t="inlineStr">
        <is>
          <t>Inactive teacher</t>
        </is>
      </c>
      <c r="D8" s="5" t="inlineStr">
        <is>
          <t>Phone</t>
        </is>
      </c>
      <c r="E8" s="5" t="inlineStr">
        <is>
          <t>Login screen</t>
        </is>
      </c>
      <c r="F8" s="5" t="inlineStr">
        <is>
          <t>Log in with the inactive account.</t>
        </is>
      </c>
      <c r="G8" s="5" t="inlineStr">
        <is>
          <t>inactive@demo.test / password123</t>
        </is>
      </c>
      <c r="H8" s="5" t="inlineStr">
        <is>
          <t>Message "This account is inactive. Contact the school office." Not logged in.</t>
        </is>
      </c>
      <c r="I8" s="5" t="inlineStr">
        <is>
          <t>High</t>
        </is>
      </c>
      <c r="J8" s="5" t="inlineStr">
        <is>
          <t>Not run</t>
        </is>
      </c>
      <c r="K8" s="5" t="inlineStr"/>
      <c r="L8" s="5" t="inlineStr"/>
      <c r="M8" s="5" t="inlineStr"/>
    </row>
    <row r="9">
      <c r="A9" s="5" t="inlineStr">
        <is>
          <t>LG-08</t>
        </is>
      </c>
      <c r="B9" s="5" t="inlineStr">
        <is>
          <t>Login</t>
        </is>
      </c>
      <c r="C9" s="5" t="inlineStr">
        <is>
          <t>New teacher</t>
        </is>
      </c>
      <c r="D9" s="5" t="inlineStr">
        <is>
          <t>Phone</t>
        </is>
      </c>
      <c r="E9" s="5" t="inlineStr">
        <is>
          <t>Login → Welcome page</t>
        </is>
      </c>
      <c r="F9" s="5" t="inlineStr">
        <is>
          <t>Log in with the temporary password. On "Welcome, Neha Joshi" type current password, then a new password and a DIFFERENT one in "Type the new password again". Tap "Change password".</t>
        </is>
      </c>
      <c r="G9" s="5" t="inlineStr">
        <is>
          <t>newteacher@demo.test / Welcome@123; new: NehaQa@2026; again: NehaQa@2027</t>
        </is>
      </c>
      <c r="H9" s="5" t="inlineStr">
        <is>
          <t>Message "Passwords do not match". Password is not changed.</t>
        </is>
      </c>
      <c r="I9" s="5" t="inlineStr">
        <is>
          <t>High</t>
        </is>
      </c>
      <c r="J9" s="5" t="inlineStr">
        <is>
          <t>Not run</t>
        </is>
      </c>
      <c r="K9" s="5" t="inlineStr"/>
      <c r="L9" s="5" t="inlineStr"/>
      <c r="M9" s="5" t="inlineStr"/>
    </row>
    <row r="10">
      <c r="A10" s="5" t="inlineStr">
        <is>
          <t>LG-09</t>
        </is>
      </c>
      <c r="B10" s="5" t="inlineStr">
        <is>
          <t>Login</t>
        </is>
      </c>
      <c r="C10" s="5" t="inlineStr">
        <is>
          <t>New teacher</t>
        </is>
      </c>
      <c r="D10" s="5" t="inlineStr">
        <is>
          <t>Phone</t>
        </is>
      </c>
      <c r="E10" s="5" t="inlineStr">
        <is>
          <t>Welcome page</t>
        </is>
      </c>
      <c r="F10" s="5" t="inlineStr">
        <is>
          <t>Now type a short new password (both boxes the same) and tap "Change password".</t>
        </is>
      </c>
      <c r="G10" s="5" t="inlineStr">
        <is>
          <t>new: abc12</t>
        </is>
      </c>
      <c r="H10" s="5" t="inlineStr">
        <is>
          <t>Message "At least 8 characters". Password is not changed.</t>
        </is>
      </c>
      <c r="I10" s="5" t="inlineStr">
        <is>
          <t>Medium</t>
        </is>
      </c>
      <c r="J10" s="5" t="inlineStr">
        <is>
          <t>Not run</t>
        </is>
      </c>
      <c r="K10" s="5" t="inlineStr"/>
      <c r="L10" s="5" t="inlineStr"/>
      <c r="M10" s="5" t="inlineStr"/>
    </row>
    <row r="11">
      <c r="A11" s="5" t="inlineStr">
        <is>
          <t>LG-10</t>
        </is>
      </c>
      <c r="B11" s="5" t="inlineStr">
        <is>
          <t>Login</t>
        </is>
      </c>
      <c r="C11" s="5" t="inlineStr">
        <is>
          <t>New teacher</t>
        </is>
      </c>
      <c r="D11" s="5" t="inlineStr">
        <is>
          <t>Phone</t>
        </is>
      </c>
      <c r="E11" s="5" t="inlineStr">
        <is>
          <t>Welcome page</t>
        </is>
      </c>
      <c r="F11" s="5" t="inlineStr">
        <is>
          <t>Type the right values and tap "Change password".</t>
        </is>
      </c>
      <c r="G11" s="5" t="inlineStr">
        <is>
          <t>current: Welcome@123; new and again: NehaQa@2026</t>
        </is>
      </c>
      <c r="H11" s="5" t="inlineStr">
        <is>
          <t>"Password changed". The Today page opens and says "No class is assigned to you yet". Log out and log in with NehaQa@2026: works.</t>
        </is>
      </c>
      <c r="I11" s="5" t="inlineStr">
        <is>
          <t>High</t>
        </is>
      </c>
      <c r="J11" s="5" t="inlineStr">
        <is>
          <t>Not run</t>
        </is>
      </c>
      <c r="K11" s="5" t="inlineStr"/>
      <c r="L11" s="5" t="inlineStr"/>
      <c r="M11" s="5" t="inlineStr"/>
    </row>
    <row r="12">
      <c r="A12" s="5" t="inlineStr">
        <is>
          <t>LG-11</t>
        </is>
      </c>
      <c r="B12" s="5" t="inlineStr">
        <is>
          <t>Login</t>
        </is>
      </c>
      <c r="C12" s="5" t="inlineStr">
        <is>
          <t>Teacher</t>
        </is>
      </c>
      <c r="D12" s="5" t="inlineStr">
        <is>
          <t>Phone</t>
        </is>
      </c>
      <c r="E12" s="5" t="inlineStr">
        <is>
          <t>Me → Log out</t>
        </is>
      </c>
      <c r="F12" s="5" t="inlineStr">
        <is>
          <t>Tap "More" → "Me" → "Log out" → confirm "Log out". Then press the phone's Back button.</t>
        </is>
      </c>
      <c r="G12" s="5" t="inlineStr"/>
      <c r="H12" s="5" t="inlineStr">
        <is>
          <t>The login screen opens. Back does not show the app pages again.</t>
        </is>
      </c>
      <c r="I12" s="5" t="inlineStr">
        <is>
          <t>High</t>
        </is>
      </c>
      <c r="J12" s="5" t="inlineStr">
        <is>
          <t>Not run</t>
        </is>
      </c>
      <c r="K12" s="5" t="inlineStr"/>
      <c r="L12" s="5" t="inlineStr"/>
      <c r="M12" s="5" t="inlineStr"/>
    </row>
    <row r="13">
      <c r="A13" s="5" t="inlineStr">
        <is>
          <t>LG-12</t>
        </is>
      </c>
      <c r="B13" s="5" t="inlineStr">
        <is>
          <t>Login</t>
        </is>
      </c>
      <c r="C13" s="5" t="inlineStr">
        <is>
          <t>Teacher</t>
        </is>
      </c>
      <c r="D13" s="5" t="inlineStr">
        <is>
          <t>Phone</t>
        </is>
      </c>
      <c r="E13" s="5" t="inlineStr">
        <is>
          <t>Any page</t>
        </is>
      </c>
      <c r="F13" s="5" t="inlineStr">
        <is>
          <t>Log in, close the browser tab completely, open the app link again.</t>
        </is>
      </c>
      <c r="G13" s="5" t="inlineStr"/>
      <c r="H13" s="5" t="inlineStr">
        <is>
          <t>You are still logged in (no need to type the password again).</t>
        </is>
      </c>
      <c r="I13" s="5" t="inlineStr">
        <is>
          <t>Medium</t>
        </is>
      </c>
      <c r="J13" s="5" t="inlineStr">
        <is>
          <t>Not run</t>
        </is>
      </c>
      <c r="K13" s="5" t="inlineStr"/>
      <c r="L13" s="5" t="inlineStr"/>
      <c r="M13" s="5" t="inlineStr"/>
    </row>
    <row r="14">
      <c r="A14" s="5" t="inlineStr">
        <is>
          <t>LG-13</t>
        </is>
      </c>
      <c r="B14" s="5" t="inlineStr">
        <is>
          <t>Login</t>
        </is>
      </c>
      <c r="C14" s="5" t="inlineStr">
        <is>
          <t>Teacher</t>
        </is>
      </c>
      <c r="D14" s="5" t="inlineStr">
        <is>
          <t>Computer</t>
        </is>
      </c>
      <c r="E14" s="5" t="inlineStr">
        <is>
          <t>Login screen</t>
        </is>
      </c>
      <c r="F14" s="5" t="inlineStr">
        <is>
          <t>Type a wrong password 10 times for Pooja (pooja@demo.test). Then type the right password.</t>
        </is>
      </c>
      <c r="G14" s="5" t="inlineStr">
        <is>
          <t>pooja@demo.test / wrong… then password123</t>
        </is>
      </c>
      <c r="H14" s="5" t="inlineStr">
        <is>
          <t>After 10 wrong tries: "Too many wrong attempts. Try again after 15 minutes." The right password also waits 15 minutes.</t>
        </is>
      </c>
      <c r="I14" s="5" t="inlineStr">
        <is>
          <t>Low</t>
        </is>
      </c>
      <c r="J14" s="5" t="inlineStr">
        <is>
          <t>Not run</t>
        </is>
      </c>
      <c r="K14" s="5" t="inlineStr"/>
      <c r="L14" s="5" t="inlineStr"/>
      <c r="M14" s="5" t="inlineStr"/>
    </row>
    <row r="15">
      <c r="A15" s="5" t="inlineStr">
        <is>
          <t>TC-01</t>
        </is>
      </c>
      <c r="B15" s="5" t="inlineStr">
        <is>
          <t>Teacher – Today</t>
        </is>
      </c>
      <c r="C15" s="5" t="inlineStr">
        <is>
          <t>Teacher</t>
        </is>
      </c>
      <c r="D15" s="5" t="inlineStr">
        <is>
          <t>Phone</t>
        </is>
      </c>
      <c r="E15" s="5" t="inlineStr">
        <is>
          <t>Today</t>
        </is>
      </c>
      <c r="F15" s="5" t="inlineStr">
        <is>
          <t>Log in as Sunita. Look at the Today page.</t>
        </is>
      </c>
      <c r="G15" s="5" t="inlineStr">
        <is>
          <t>sunita@demo.test</t>
        </is>
      </c>
      <c r="H15" s="5" t="inlineStr">
        <is>
          <t>Shows "Namaste, Sunita", today's date, "Attendance is waiting in 1 class", class card "Std 1 A – Attendance not taken yet" with a big "Take attendance" button, and "My subjects" with progress bars.</t>
        </is>
      </c>
      <c r="I15" s="5" t="inlineStr">
        <is>
          <t>High</t>
        </is>
      </c>
      <c r="J15" s="5" t="inlineStr">
        <is>
          <t>Not run</t>
        </is>
      </c>
      <c r="K15" s="5" t="inlineStr"/>
      <c r="L15" s="5" t="inlineStr"/>
      <c r="M15" s="5" t="inlineStr"/>
    </row>
    <row r="16">
      <c r="A16" s="5" t="inlineStr">
        <is>
          <t>TC-02</t>
        </is>
      </c>
      <c r="B16" s="5" t="inlineStr">
        <is>
          <t>Teacher – Today</t>
        </is>
      </c>
      <c r="C16" s="5" t="inlineStr">
        <is>
          <t>Teacher</t>
        </is>
      </c>
      <c r="D16" s="5" t="inlineStr">
        <is>
          <t>Phone</t>
        </is>
      </c>
      <c r="E16" s="5" t="inlineStr">
        <is>
          <t>Bottom bar</t>
        </is>
      </c>
      <c r="F16" s="5" t="inlineStr">
        <is>
          <t>Tap each item of the bottom bar: Today, Attendance, Students, Syllabus, More.</t>
        </is>
      </c>
      <c r="G16" s="5" t="inlineStr"/>
      <c r="H16" s="5" t="inlineStr">
        <is>
          <t>Each opens its page. "More" opens a small sheet with "Marks" and "Me". The bar stays at the bottom and never hides buttons.</t>
        </is>
      </c>
      <c r="I16" s="5" t="inlineStr">
        <is>
          <t>High</t>
        </is>
      </c>
      <c r="J16" s="5" t="inlineStr">
        <is>
          <t>Not run</t>
        </is>
      </c>
      <c r="K16" s="5" t="inlineStr"/>
      <c r="L16" s="5" t="inlineStr"/>
      <c r="M16" s="5" t="inlineStr"/>
    </row>
    <row r="17">
      <c r="A17" s="5" t="inlineStr">
        <is>
          <t>TC-03</t>
        </is>
      </c>
      <c r="B17" s="5" t="inlineStr">
        <is>
          <t>Teacher – Attendance</t>
        </is>
      </c>
      <c r="C17" s="5" t="inlineStr">
        <is>
          <t>Teacher</t>
        </is>
      </c>
      <c r="D17" s="5" t="inlineStr">
        <is>
          <t>Phone</t>
        </is>
      </c>
      <c r="E17" s="5" t="inlineStr">
        <is>
          <t>Today → Take attendance</t>
        </is>
      </c>
      <c r="F17" s="5" t="inlineStr">
        <is>
          <t>Tap "Take attendance" on Std 1 A.</t>
        </is>
      </c>
      <c r="G17" s="5" t="inlineStr"/>
      <c r="H17" s="5" t="inlineStr">
        <is>
          <t>List of all Std 1 A children with roll numbers. Everyone starts on P (green). Counts show "Present: (all) · Absent: 0 · Leave: 0". A short help note is shown.</t>
        </is>
      </c>
      <c r="I17" s="5" t="inlineStr">
        <is>
          <t>High</t>
        </is>
      </c>
      <c r="J17" s="5" t="inlineStr">
        <is>
          <t>Not run</t>
        </is>
      </c>
      <c r="K17" s="5" t="inlineStr"/>
      <c r="L17" s="5" t="inlineStr"/>
      <c r="M17" s="5" t="inlineStr"/>
    </row>
    <row r="18">
      <c r="A18" s="5" t="inlineStr">
        <is>
          <t>TC-04</t>
        </is>
      </c>
      <c r="B18" s="5" t="inlineStr">
        <is>
          <t>Teacher – Attendance</t>
        </is>
      </c>
      <c r="C18" s="5" t="inlineStr">
        <is>
          <t>Teacher</t>
        </is>
      </c>
      <c r="D18" s="5" t="inlineStr">
        <is>
          <t>Phone</t>
        </is>
      </c>
      <c r="E18" s="5" t="inlineStr">
        <is>
          <t>Take attendance</t>
        </is>
      </c>
      <c r="F18" s="5" t="inlineStr">
        <is>
          <t>Tap "A" for Aryan Mhatre and "L" for Riya Kale.</t>
        </is>
      </c>
      <c r="G18" s="5" t="inlineStr">
        <is>
          <t>Aryan Mhatre, Riya Kale</t>
        </is>
      </c>
      <c r="H18" s="5" t="inlineStr">
        <is>
          <t>Aryan's row turns red (A), Riya's turns yellow (L). Counts change at once: Absent 1, Leave 1.</t>
        </is>
      </c>
      <c r="I18" s="5" t="inlineStr">
        <is>
          <t>High</t>
        </is>
      </c>
      <c r="J18" s="5" t="inlineStr">
        <is>
          <t>Not run</t>
        </is>
      </c>
      <c r="K18" s="5" t="inlineStr"/>
      <c r="L18" s="5" t="inlineStr"/>
      <c r="M18" s="5" t="inlineStr"/>
    </row>
    <row r="19">
      <c r="A19" s="5" t="inlineStr">
        <is>
          <t>TC-05</t>
        </is>
      </c>
      <c r="B19" s="5" t="inlineStr">
        <is>
          <t>Teacher – Attendance</t>
        </is>
      </c>
      <c r="C19" s="5" t="inlineStr">
        <is>
          <t>Teacher</t>
        </is>
      </c>
      <c r="D19" s="5" t="inlineStr">
        <is>
          <t>Phone</t>
        </is>
      </c>
      <c r="E19" s="5" t="inlineStr">
        <is>
          <t>Take attendance</t>
        </is>
      </c>
      <c r="F19" s="5" t="inlineStr">
        <is>
          <t>Type a name in the "Search" box above the list. Then clear it.</t>
        </is>
      </c>
      <c r="G19" s="5" t="inlineStr">
        <is>
          <t>Riya</t>
        </is>
      </c>
      <c r="H19" s="5" t="inlineStr">
        <is>
          <t>Only Riya Kale is listed. After clearing, all children are back with your marks kept.</t>
        </is>
      </c>
      <c r="I19" s="5" t="inlineStr">
        <is>
          <t>Medium</t>
        </is>
      </c>
      <c r="J19" s="5" t="inlineStr">
        <is>
          <t>Not run</t>
        </is>
      </c>
      <c r="K19" s="5" t="inlineStr"/>
      <c r="L19" s="5" t="inlineStr"/>
      <c r="M19" s="5" t="inlineStr"/>
    </row>
    <row r="20">
      <c r="A20" s="5" t="inlineStr">
        <is>
          <t>TC-06</t>
        </is>
      </c>
      <c r="B20" s="5" t="inlineStr">
        <is>
          <t>Teacher – Attendance</t>
        </is>
      </c>
      <c r="C20" s="5" t="inlineStr">
        <is>
          <t>Teacher</t>
        </is>
      </c>
      <c r="D20" s="5" t="inlineStr">
        <is>
          <t>Phone</t>
        </is>
      </c>
      <c r="E20" s="5" t="inlineStr">
        <is>
          <t>Take attendance</t>
        </is>
      </c>
      <c r="F20" s="5" t="inlineStr">
        <is>
          <t>Tap "Save attendance".</t>
        </is>
      </c>
      <c r="G20" s="5" t="inlineStr"/>
      <c r="H20" s="5" t="inlineStr">
        <is>
          <t>Message "Attendance saved: … present, 1 absent". Today page now shows Std 1 A in green "Attendance done: … present (time)" and the button says "Change attendance".</t>
        </is>
      </c>
      <c r="I20" s="5" t="inlineStr">
        <is>
          <t>High</t>
        </is>
      </c>
      <c r="J20" s="5" t="inlineStr">
        <is>
          <t>Not run</t>
        </is>
      </c>
      <c r="K20" s="5" t="inlineStr"/>
      <c r="L20" s="5" t="inlineStr"/>
      <c r="M20" s="5" t="inlineStr"/>
    </row>
    <row r="21">
      <c r="A21" s="5" t="inlineStr">
        <is>
          <t>TC-07</t>
        </is>
      </c>
      <c r="B21" s="5" t="inlineStr">
        <is>
          <t>Teacher – Attendance</t>
        </is>
      </c>
      <c r="C21" s="5" t="inlineStr">
        <is>
          <t>Teacher</t>
        </is>
      </c>
      <c r="D21" s="5" t="inlineStr">
        <is>
          <t>Phone</t>
        </is>
      </c>
      <c r="E21" s="5" t="inlineStr">
        <is>
          <t>Today → Change attendance</t>
        </is>
      </c>
      <c r="F21" s="5" t="inlineStr">
        <is>
          <t>Open it again. Change Aryan to P. Do not save yet.</t>
        </is>
      </c>
      <c r="G21" s="5" t="inlineStr"/>
      <c r="H21" s="5" t="inlineStr">
        <is>
          <t>A note says "You changed some marks. Press Save attendance to keep them." After "Save attendance" the new counts are saved.</t>
        </is>
      </c>
      <c r="I21" s="5" t="inlineStr">
        <is>
          <t>High</t>
        </is>
      </c>
      <c r="J21" s="5" t="inlineStr">
        <is>
          <t>Not run</t>
        </is>
      </c>
      <c r="K21" s="5" t="inlineStr"/>
      <c r="L21" s="5" t="inlineStr"/>
      <c r="M21" s="5" t="inlineStr"/>
    </row>
    <row r="22">
      <c r="A22" s="5" t="inlineStr">
        <is>
          <t>TC-08</t>
        </is>
      </c>
      <c r="B22" s="5" t="inlineStr">
        <is>
          <t>Teacher – Attendance</t>
        </is>
      </c>
      <c r="C22" s="5" t="inlineStr">
        <is>
          <t>Teacher</t>
        </is>
      </c>
      <c r="D22" s="5" t="inlineStr">
        <is>
          <t>Phone</t>
        </is>
      </c>
      <c r="E22" s="5" t="inlineStr">
        <is>
          <t>Take attendance</t>
        </is>
      </c>
      <c r="F22" s="5" t="inlineStr">
        <is>
          <t>Mark 2 children A, then tap "Mark everyone present".</t>
        </is>
      </c>
      <c r="G22" s="5" t="inlineStr"/>
      <c r="H22" s="5" t="inlineStr">
        <is>
          <t>Everyone is back on P. Counts show Absent 0.</t>
        </is>
      </c>
      <c r="I22" s="5" t="inlineStr">
        <is>
          <t>Medium</t>
        </is>
      </c>
      <c r="J22" s="5" t="inlineStr">
        <is>
          <t>Not run</t>
        </is>
      </c>
      <c r="K22" s="5" t="inlineStr"/>
      <c r="L22" s="5" t="inlineStr"/>
      <c r="M22" s="5" t="inlineStr"/>
    </row>
    <row r="23">
      <c r="A23" s="5" t="inlineStr">
        <is>
          <t>TC-09</t>
        </is>
      </c>
      <c r="B23" s="5" t="inlineStr">
        <is>
          <t>Teacher – Attendance</t>
        </is>
      </c>
      <c r="C23" s="5" t="inlineStr">
        <is>
          <t>Teacher</t>
        </is>
      </c>
      <c r="D23" s="5" t="inlineStr">
        <is>
          <t>Phone</t>
        </is>
      </c>
      <c r="E23" s="5" t="inlineStr">
        <is>
          <t>Take attendance → Date</t>
        </is>
      </c>
      <c r="F23" s="5" t="inlineStr">
        <is>
          <t>Change the date to yesterday.</t>
        </is>
      </c>
      <c r="G23" s="5" t="inlineStr">
        <is>
          <t>yesterday</t>
        </is>
      </c>
      <c r="H23" s="5" t="inlineStr">
        <is>
          <t>Yesterday's saved attendance of Std 1 A is shown and can be changed and saved.</t>
        </is>
      </c>
      <c r="I23" s="5" t="inlineStr">
        <is>
          <t>Medium</t>
        </is>
      </c>
      <c r="J23" s="5" t="inlineStr">
        <is>
          <t>Not run</t>
        </is>
      </c>
      <c r="K23" s="5" t="inlineStr"/>
      <c r="L23" s="5" t="inlineStr"/>
      <c r="M23" s="5" t="inlineStr"/>
    </row>
    <row r="24">
      <c r="A24" s="5" t="inlineStr">
        <is>
          <t>TC-10</t>
        </is>
      </c>
      <c r="B24" s="5" t="inlineStr">
        <is>
          <t>Teacher – Attendance</t>
        </is>
      </c>
      <c r="C24" s="5" t="inlineStr">
        <is>
          <t>Teacher</t>
        </is>
      </c>
      <c r="D24" s="5" t="inlineStr">
        <is>
          <t>Phone</t>
        </is>
      </c>
      <c r="E24" s="5" t="inlineStr">
        <is>
          <t>Take attendance → Date</t>
        </is>
      </c>
      <c r="F24" s="5" t="inlineStr">
        <is>
          <t>Change the date to a day 10 days ago.</t>
        </is>
      </c>
      <c r="G24" s="5" t="inlineStr">
        <is>
          <t>10 days ago</t>
        </is>
      </c>
      <c r="H24" s="5" t="inlineStr">
        <is>
          <t>Warning "This date is too old to change. Ask the principal." The buttons cannot be changed and there is no Save button.</t>
        </is>
      </c>
      <c r="I24" s="5" t="inlineStr">
        <is>
          <t>High</t>
        </is>
      </c>
      <c r="J24" s="5" t="inlineStr">
        <is>
          <t>Not run</t>
        </is>
      </c>
      <c r="K24" s="5" t="inlineStr"/>
      <c r="L24" s="5" t="inlineStr"/>
      <c r="M24" s="5" t="inlineStr"/>
    </row>
    <row r="25">
      <c r="A25" s="5" t="inlineStr">
        <is>
          <t>TC-11</t>
        </is>
      </c>
      <c r="B25" s="5" t="inlineStr">
        <is>
          <t>Teacher – Attendance</t>
        </is>
      </c>
      <c r="C25" s="5" t="inlineStr">
        <is>
          <t>Teacher</t>
        </is>
      </c>
      <c r="D25" s="5" t="inlineStr">
        <is>
          <t>Phone</t>
        </is>
      </c>
      <c r="E25" s="5" t="inlineStr">
        <is>
          <t>Take attendance → Date</t>
        </is>
      </c>
      <c r="F25" s="5" t="inlineStr">
        <is>
          <t>Try to pick tomorrow's date.</t>
        </is>
      </c>
      <c r="G25" s="5" t="inlineStr">
        <is>
          <t>tomorrow</t>
        </is>
      </c>
      <c r="H25" s="5" t="inlineStr">
        <is>
          <t>Not allowed: warning "You cannot choose a future date" (or the date cannot be picked).</t>
        </is>
      </c>
      <c r="I25" s="5" t="inlineStr">
        <is>
          <t>Medium</t>
        </is>
      </c>
      <c r="J25" s="5" t="inlineStr">
        <is>
          <t>Not run</t>
        </is>
      </c>
      <c r="K25" s="5" t="inlineStr"/>
      <c r="L25" s="5" t="inlineStr"/>
      <c r="M25" s="5" t="inlineStr"/>
    </row>
    <row r="26">
      <c r="A26" s="5" t="inlineStr">
        <is>
          <t>TC-12</t>
        </is>
      </c>
      <c r="B26" s="5" t="inlineStr">
        <is>
          <t>Teacher – Attendance</t>
        </is>
      </c>
      <c r="C26" s="5" t="inlineStr">
        <is>
          <t>Teacher</t>
        </is>
      </c>
      <c r="D26" s="5" t="inlineStr">
        <is>
          <t>Phone</t>
        </is>
      </c>
      <c r="E26" s="5" t="inlineStr">
        <is>
          <t>Take attendance (no internet)</t>
        </is>
      </c>
      <c r="F26" s="5" t="inlineStr">
        <is>
          <t>Turn ON Airplane mode. Change one mark and tap "Save attendance". Then turn Airplane mode OFF and wait 1 minute.</t>
        </is>
      </c>
      <c r="G26" s="5" t="inlineStr"/>
      <c r="H26" s="5" t="inlineStr">
        <is>
          <t>With no internet: "No internet. Attendance is saved on this phone and will be sent automatically…". After internet returns, the waiting message goes away and the change is saved (check it on a computer).</t>
        </is>
      </c>
      <c r="I26" s="5" t="inlineStr">
        <is>
          <t>High</t>
        </is>
      </c>
      <c r="J26" s="5" t="inlineStr">
        <is>
          <t>Not run</t>
        </is>
      </c>
      <c r="K26" s="5" t="inlineStr"/>
      <c r="L26" s="5" t="inlineStr"/>
      <c r="M26" s="5" t="inlineStr"/>
    </row>
    <row r="27">
      <c r="A27" s="5" t="inlineStr">
        <is>
          <t>TC-13</t>
        </is>
      </c>
      <c r="B27" s="5" t="inlineStr">
        <is>
          <t>Teacher – Diary</t>
        </is>
      </c>
      <c r="C27" s="5" t="inlineStr">
        <is>
          <t>Teacher</t>
        </is>
      </c>
      <c r="D27" s="5" t="inlineStr">
        <is>
          <t>Phone</t>
        </is>
      </c>
      <c r="E27" s="5" t="inlineStr">
        <is>
          <t>Today → Class diary</t>
        </is>
      </c>
      <c r="F27" s="5" t="inlineStr">
        <is>
          <t>Tap "Class diary" on Std 1 A. Write a note and save.</t>
        </is>
      </c>
      <c r="G27" s="5" t="inlineStr">
        <is>
          <t>Today we learned numbers 1 to 20.</t>
        </is>
      </c>
      <c r="H27" s="5" t="inlineStr">
        <is>
          <t>"Diary saved". The note shows with today's date and "by Sunita Patil".</t>
        </is>
      </c>
      <c r="I27" s="5" t="inlineStr">
        <is>
          <t>Medium</t>
        </is>
      </c>
      <c r="J27" s="5" t="inlineStr">
        <is>
          <t>Not run</t>
        </is>
      </c>
      <c r="K27" s="5" t="inlineStr"/>
      <c r="L27" s="5" t="inlineStr"/>
      <c r="M27" s="5" t="inlineStr"/>
    </row>
    <row r="28">
      <c r="A28" s="5" t="inlineStr">
        <is>
          <t>TC-14</t>
        </is>
      </c>
      <c r="B28" s="5" t="inlineStr">
        <is>
          <t>Teacher – Students</t>
        </is>
      </c>
      <c r="C28" s="5" t="inlineStr">
        <is>
          <t>Teacher</t>
        </is>
      </c>
      <c r="D28" s="5" t="inlineStr">
        <is>
          <t>Phone</t>
        </is>
      </c>
      <c r="E28" s="5" t="inlineStr">
        <is>
          <t>Today → Students</t>
        </is>
      </c>
      <c r="F28" s="5" t="inlineStr">
        <is>
          <t>Tap "Students" on the Std 1 A card.</t>
        </is>
      </c>
      <c r="G28" s="5" t="inlineStr"/>
      <c r="H28" s="5" t="inlineStr">
        <is>
          <t>The Std 1 A class list opens with photos (or initials), roll numbers and today's mark.</t>
        </is>
      </c>
      <c r="I28" s="5" t="inlineStr">
        <is>
          <t>Medium</t>
        </is>
      </c>
      <c r="J28" s="5" t="inlineStr">
        <is>
          <t>Not run</t>
        </is>
      </c>
      <c r="K28" s="5" t="inlineStr"/>
      <c r="L28" s="5" t="inlineStr"/>
      <c r="M28" s="5" t="inlineStr"/>
    </row>
    <row r="29">
      <c r="A29" s="5" t="inlineStr">
        <is>
          <t>TC-15</t>
        </is>
      </c>
      <c r="B29" s="5" t="inlineStr">
        <is>
          <t>Teacher – Students</t>
        </is>
      </c>
      <c r="C29" s="5" t="inlineStr">
        <is>
          <t>Teacher</t>
        </is>
      </c>
      <c r="D29" s="5" t="inlineStr">
        <is>
          <t>Phone</t>
        </is>
      </c>
      <c r="E29" s="5" t="inlineStr">
        <is>
          <t>Students → search</t>
        </is>
      </c>
      <c r="F29" s="5" t="inlineStr">
        <is>
          <t>Type in the search box.</t>
        </is>
      </c>
      <c r="G29" s="5" t="inlineStr">
        <is>
          <t>Riya</t>
        </is>
      </c>
      <c r="H29" s="5" t="inlineStr">
        <is>
          <t>Riya Kale appears (Std 1 A).</t>
        </is>
      </c>
      <c r="I29" s="5" t="inlineStr">
        <is>
          <t>High</t>
        </is>
      </c>
      <c r="J29" s="5" t="inlineStr">
        <is>
          <t>Not run</t>
        </is>
      </c>
      <c r="K29" s="5" t="inlineStr"/>
      <c r="L29" s="5" t="inlineStr"/>
      <c r="M29" s="5" t="inlineStr"/>
    </row>
    <row r="30">
      <c r="A30" s="5" t="inlineStr">
        <is>
          <t>TC-16</t>
        </is>
      </c>
      <c r="B30" s="5" t="inlineStr">
        <is>
          <t>Teacher – Students</t>
        </is>
      </c>
      <c r="C30" s="5" t="inlineStr">
        <is>
          <t>Teacher</t>
        </is>
      </c>
      <c r="D30" s="5" t="inlineStr">
        <is>
          <t>Phone</t>
        </is>
      </c>
      <c r="E30" s="5" t="inlineStr">
        <is>
          <t>Students → search</t>
        </is>
      </c>
      <c r="F30" s="5" t="inlineStr">
        <is>
          <t>Search by the parent's mobile number.</t>
        </is>
      </c>
      <c r="G30" s="5" t="inlineStr">
        <is>
          <t>9123400004</t>
        </is>
      </c>
      <c r="H30" s="5" t="inlineStr">
        <is>
          <t>Kiran Thakur appears.</t>
        </is>
      </c>
      <c r="I30" s="5" t="inlineStr">
        <is>
          <t>Medium</t>
        </is>
      </c>
      <c r="J30" s="5" t="inlineStr">
        <is>
          <t>Not run</t>
        </is>
      </c>
      <c r="K30" s="5" t="inlineStr"/>
      <c r="L30" s="5" t="inlineStr"/>
      <c r="M30" s="5" t="inlineStr"/>
    </row>
    <row r="31">
      <c r="A31" s="5" t="inlineStr">
        <is>
          <t>TC-17</t>
        </is>
      </c>
      <c r="B31" s="5" t="inlineStr">
        <is>
          <t>Teacher – Student profile</t>
        </is>
      </c>
      <c r="C31" s="5" t="inlineStr">
        <is>
          <t>Teacher</t>
        </is>
      </c>
      <c r="D31" s="5" t="inlineStr">
        <is>
          <t>Phone</t>
        </is>
      </c>
      <c r="E31" s="5" t="inlineStr">
        <is>
          <t>Students → Riya Kale</t>
        </is>
      </c>
      <c r="F31" s="5" t="inlineStr">
        <is>
          <t>Open Riya Kale.</t>
        </is>
      </c>
      <c r="G31" s="5" t="inlineStr"/>
      <c r="H31" s="5" t="inlineStr">
        <is>
          <t>Photo, "Std 1 A", Roll no., GR number, age, "Sunil Kale · Father" with call and WhatsApp icons, and tabs: Details, Daily diary, Past years, Report card, Health. "Attendance this month" shows a small calendar with totals.</t>
        </is>
      </c>
      <c r="I31" s="5" t="inlineStr">
        <is>
          <t>High</t>
        </is>
      </c>
      <c r="J31" s="5" t="inlineStr">
        <is>
          <t>Not run</t>
        </is>
      </c>
      <c r="K31" s="5" t="inlineStr"/>
      <c r="L31" s="5" t="inlineStr"/>
      <c r="M31" s="5" t="inlineStr"/>
    </row>
    <row r="32">
      <c r="A32" s="5" t="inlineStr">
        <is>
          <t>TC-18</t>
        </is>
      </c>
      <c r="B32" s="5" t="inlineStr">
        <is>
          <t>Teacher – Student profile</t>
        </is>
      </c>
      <c r="C32" s="5" t="inlineStr">
        <is>
          <t>Teacher</t>
        </is>
      </c>
      <c r="D32" s="5" t="inlineStr">
        <is>
          <t>Phone</t>
        </is>
      </c>
      <c r="E32" s="5" t="inlineStr">
        <is>
          <t>Riya Kale → Past years</t>
        </is>
      </c>
      <c r="F32" s="5" t="inlineStr">
        <is>
          <t>Open the "Past years" tab.</t>
        </is>
      </c>
      <c r="G32" s="5" t="inlineStr"/>
      <c r="H32" s="5" t="inlineStr">
        <is>
          <t>Shows last year: Balwadi A, "Moved to next class", with that year's attendance.</t>
        </is>
      </c>
      <c r="I32" s="5" t="inlineStr">
        <is>
          <t>Medium</t>
        </is>
      </c>
      <c r="J32" s="5" t="inlineStr">
        <is>
          <t>Not run</t>
        </is>
      </c>
      <c r="K32" s="5" t="inlineStr"/>
      <c r="L32" s="5" t="inlineStr"/>
      <c r="M32" s="5" t="inlineStr"/>
    </row>
    <row r="33">
      <c r="A33" s="5" t="inlineStr">
        <is>
          <t>TC-19</t>
        </is>
      </c>
      <c r="B33" s="5" t="inlineStr">
        <is>
          <t>Teacher – Student profile</t>
        </is>
      </c>
      <c r="C33" s="5" t="inlineStr">
        <is>
          <t>Teacher</t>
        </is>
      </c>
      <c r="D33" s="5" t="inlineStr">
        <is>
          <t>Phone</t>
        </is>
      </c>
      <c r="E33" s="5" t="inlineStr">
        <is>
          <t>Riya Kale → Daily diary</t>
        </is>
      </c>
      <c r="F33" s="5" t="inlineStr">
        <is>
          <t>Add a note about the child and save.</t>
        </is>
      </c>
      <c r="G33" s="5" t="inlineStr">
        <is>
          <t>Riya read a full story today.</t>
        </is>
      </c>
      <c r="H33" s="5" t="inlineStr">
        <is>
          <t>Note appears at the top with today's date and "by Sunita Patil".</t>
        </is>
      </c>
      <c r="I33" s="5" t="inlineStr">
        <is>
          <t>Medium</t>
        </is>
      </c>
      <c r="J33" s="5" t="inlineStr">
        <is>
          <t>Not run</t>
        </is>
      </c>
      <c r="K33" s="5" t="inlineStr"/>
      <c r="L33" s="5" t="inlineStr"/>
      <c r="M33" s="5" t="inlineStr"/>
    </row>
    <row r="34">
      <c r="A34" s="5" t="inlineStr">
        <is>
          <t>TC-20</t>
        </is>
      </c>
      <c r="B34" s="5" t="inlineStr">
        <is>
          <t>Teacher – Student profile</t>
        </is>
      </c>
      <c r="C34" s="5" t="inlineStr">
        <is>
          <t>Teacher</t>
        </is>
      </c>
      <c r="D34" s="5" t="inlineStr">
        <is>
          <t>Phone</t>
        </is>
      </c>
      <c r="E34" s="5" t="inlineStr">
        <is>
          <t>Riya Kale → call / WhatsApp</t>
        </is>
      </c>
      <c r="F34" s="5" t="inlineStr">
        <is>
          <t>Tap the phone icon. Go back. Tap the WhatsApp icon.</t>
        </is>
      </c>
      <c r="G34" s="5" t="inlineStr"/>
      <c r="H34" s="5" t="inlineStr">
        <is>
          <t>Phone dialer opens with 9123400001. WhatsApp opens a chat to that number (if WhatsApp is installed).</t>
        </is>
      </c>
      <c r="I34" s="5" t="inlineStr">
        <is>
          <t>Medium</t>
        </is>
      </c>
      <c r="J34" s="5" t="inlineStr">
        <is>
          <t>Not run</t>
        </is>
      </c>
      <c r="K34" s="5" t="inlineStr"/>
      <c r="L34" s="5" t="inlineStr"/>
      <c r="M34" s="5" t="inlineStr"/>
    </row>
    <row r="35">
      <c r="A35" s="5" t="inlineStr">
        <is>
          <t>TC-21</t>
        </is>
      </c>
      <c r="B35" s="5" t="inlineStr">
        <is>
          <t>Teacher – Student profile</t>
        </is>
      </c>
      <c r="C35" s="5" t="inlineStr">
        <is>
          <t>Teacher</t>
        </is>
      </c>
      <c r="D35" s="5" t="inlineStr">
        <is>
          <t>Phone</t>
        </is>
      </c>
      <c r="E35" s="5" t="inlineStr">
        <is>
          <t>Aryan Mhatre → camera icon</t>
        </is>
      </c>
      <c r="F35" s="5" t="inlineStr">
        <is>
          <t>Open Aryan Mhatre (no photo). Tap the camera icon on the picture, choose the photo file.</t>
        </is>
      </c>
      <c r="G35" s="5" t="inlineStr">
        <is>
          <t>test-files/child-photo-boy.jpg</t>
        </is>
      </c>
      <c r="H35" s="5" t="inlineStr">
        <is>
          <t>The photo shows on the profile and in the class list.</t>
        </is>
      </c>
      <c r="I35" s="5" t="inlineStr">
        <is>
          <t>High</t>
        </is>
      </c>
      <c r="J35" s="5" t="inlineStr">
        <is>
          <t>Not run</t>
        </is>
      </c>
      <c r="K35" s="5" t="inlineStr"/>
      <c r="L35" s="5" t="inlineStr"/>
      <c r="M35" s="5" t="inlineStr"/>
    </row>
    <row r="36">
      <c r="A36" s="5" t="inlineStr">
        <is>
          <t>TC-22</t>
        </is>
      </c>
      <c r="B36" s="5" t="inlineStr">
        <is>
          <t>Teacher – Student profile</t>
        </is>
      </c>
      <c r="C36" s="5" t="inlineStr">
        <is>
          <t>Teacher</t>
        </is>
      </c>
      <c r="D36" s="5" t="inlineStr">
        <is>
          <t>Phone</t>
        </is>
      </c>
      <c r="E36" s="5" t="inlineStr">
        <is>
          <t>Aryan Mhatre → camera icon</t>
        </is>
      </c>
      <c r="F36" s="5" t="inlineStr">
        <is>
          <t>Try to upload the wrong files as a photo.</t>
        </is>
      </c>
      <c r="G36" s="5" t="inlineStr">
        <is>
          <t>not-a-photo.pdf, then photo-too-big-9MB.png</t>
        </is>
      </c>
      <c r="H36" s="5" t="inlineStr">
        <is>
          <t>PDF: "This file type is not allowed" (or it cannot be picked). Big file: "The file is too large". The old photo stays.</t>
        </is>
      </c>
      <c r="I36" s="5" t="inlineStr">
        <is>
          <t>Medium</t>
        </is>
      </c>
      <c r="J36" s="5" t="inlineStr">
        <is>
          <t>Not run</t>
        </is>
      </c>
      <c r="K36" s="5" t="inlineStr"/>
      <c r="L36" s="5" t="inlineStr"/>
      <c r="M36" s="5" t="inlineStr"/>
    </row>
    <row r="37">
      <c r="A37" s="5" t="inlineStr">
        <is>
          <t>TC-23</t>
        </is>
      </c>
      <c r="B37" s="5" t="inlineStr">
        <is>
          <t>Teacher – Student profile</t>
        </is>
      </c>
      <c r="C37" s="5" t="inlineStr">
        <is>
          <t>Teacher</t>
        </is>
      </c>
      <c r="D37" s="5" t="inlineStr">
        <is>
          <t>Phone</t>
        </is>
      </c>
      <c r="E37" s="5" t="inlineStr">
        <is>
          <t>Riya Kale → Edit</t>
        </is>
      </c>
      <c r="F37" s="5" t="inlineStr">
        <is>
          <t>Tap "Edit", change the address, tap "Save student".</t>
        </is>
      </c>
      <c r="G37" s="5" t="inlineStr">
        <is>
          <t>New address: Kopri, Thane</t>
        </is>
      </c>
      <c r="H37" s="5" t="inlineStr">
        <is>
          <t>"Saved". Details tab shows the new address.</t>
        </is>
      </c>
      <c r="I37" s="5" t="inlineStr">
        <is>
          <t>Medium</t>
        </is>
      </c>
      <c r="J37" s="5" t="inlineStr">
        <is>
          <t>Not run</t>
        </is>
      </c>
      <c r="K37" s="5" t="inlineStr"/>
      <c r="L37" s="5" t="inlineStr"/>
      <c r="M37" s="5" t="inlineStr"/>
    </row>
    <row r="38">
      <c r="A38" s="5" t="inlineStr">
        <is>
          <t>TC-24</t>
        </is>
      </c>
      <c r="B38" s="5" t="inlineStr">
        <is>
          <t>Teacher – Student profile</t>
        </is>
      </c>
      <c r="C38" s="5" t="inlineStr">
        <is>
          <t>Teacher</t>
        </is>
      </c>
      <c r="D38" s="5" t="inlineStr">
        <is>
          <t>Phone</t>
        </is>
      </c>
      <c r="E38" s="5" t="inlineStr">
        <is>
          <t>Riya Kale → Health</t>
        </is>
      </c>
      <c r="F38" s="5" t="inlineStr">
        <is>
          <t>Add a health check-up: today's date, height and weight. Save.</t>
        </is>
      </c>
      <c r="G38" s="5" t="inlineStr">
        <is>
          <t>Height 112, Weight 19</t>
        </is>
      </c>
      <c r="H38" s="5" t="inlineStr">
        <is>
          <t>The check-up shows in the list with "Height: 112 cm", "Weight: 19 kg".</t>
        </is>
      </c>
      <c r="I38" s="5" t="inlineStr">
        <is>
          <t>Medium</t>
        </is>
      </c>
      <c r="J38" s="5" t="inlineStr">
        <is>
          <t>Not run</t>
        </is>
      </c>
      <c r="K38" s="5" t="inlineStr"/>
      <c r="L38" s="5" t="inlineStr"/>
      <c r="M38" s="5" t="inlineStr"/>
    </row>
    <row r="39">
      <c r="A39" s="5" t="inlineStr">
        <is>
          <t>TC-25</t>
        </is>
      </c>
      <c r="B39" s="5" t="inlineStr">
        <is>
          <t>Teacher – Students</t>
        </is>
      </c>
      <c r="C39" s="5" t="inlineStr">
        <is>
          <t>Teacher</t>
        </is>
      </c>
      <c r="D39" s="5" t="inlineStr">
        <is>
          <t>Phone</t>
        </is>
      </c>
      <c r="E39" s="5" t="inlineStr">
        <is>
          <t>Students → Add student</t>
        </is>
      </c>
      <c r="F39" s="5" t="inlineStr">
        <is>
          <t>Tap "Add student". Fill name, class, gender. Tap "Save student".</t>
        </is>
      </c>
      <c r="G39" s="5" t="inlineStr">
        <is>
          <t>QA Child One, Std 1 A, Girl</t>
        </is>
      </c>
      <c r="H39" s="5" t="inlineStr">
        <is>
          <t>Message "QA Child One added with register number SS-…". The child is in the Std 1 A list.</t>
        </is>
      </c>
      <c r="I39" s="5" t="inlineStr">
        <is>
          <t>High</t>
        </is>
      </c>
      <c r="J39" s="5" t="inlineStr">
        <is>
          <t>Not run</t>
        </is>
      </c>
      <c r="K39" s="5" t="inlineStr"/>
      <c r="L39" s="5" t="inlineStr"/>
      <c r="M39" s="5" t="inlineStr"/>
    </row>
    <row r="40">
      <c r="A40" s="5" t="inlineStr">
        <is>
          <t>TC-26</t>
        </is>
      </c>
      <c r="B40" s="5" t="inlineStr">
        <is>
          <t>Teacher – Students</t>
        </is>
      </c>
      <c r="C40" s="5" t="inlineStr">
        <is>
          <t>Teacher</t>
        </is>
      </c>
      <c r="D40" s="5" t="inlineStr">
        <is>
          <t>Phone</t>
        </is>
      </c>
      <c r="E40" s="5" t="inlineStr">
        <is>
          <t>Students → Add student</t>
        </is>
      </c>
      <c r="F40" s="5" t="inlineStr">
        <is>
          <t>Add a child with the same name and parent mobile as an existing child.</t>
        </is>
      </c>
      <c r="G40" s="5" t="inlineStr">
        <is>
          <t>Riya Kale, Std 1 A, mobile 9123400001</t>
        </is>
      </c>
      <c r="H40" s="5" t="inlineStr">
        <is>
          <t>Question "Is this child already in the school records?" shows Riya Kale. Tap Cancel: nothing is added.</t>
        </is>
      </c>
      <c r="I40" s="5" t="inlineStr">
        <is>
          <t>High</t>
        </is>
      </c>
      <c r="J40" s="5" t="inlineStr">
        <is>
          <t>Not run</t>
        </is>
      </c>
      <c r="K40" s="5" t="inlineStr"/>
      <c r="L40" s="5" t="inlineStr"/>
      <c r="M40" s="5" t="inlineStr"/>
    </row>
    <row r="41">
      <c r="A41" s="5" t="inlineStr">
        <is>
          <t>TC-27</t>
        </is>
      </c>
      <c r="B41" s="5" t="inlineStr">
        <is>
          <t>Teacher – Syllabus</t>
        </is>
      </c>
      <c r="C41" s="5" t="inlineStr">
        <is>
          <t>Teacher</t>
        </is>
      </c>
      <c r="D41" s="5" t="inlineStr">
        <is>
          <t>Phone</t>
        </is>
      </c>
      <c r="E41" s="5" t="inlineStr">
        <is>
          <t>Syllabus → Maths · Std 1 A</t>
        </is>
      </c>
      <c r="F41" s="5" t="inlineStr">
        <is>
          <t>Open a subject. Tap "Mark as taught" on a topic that is not taught yet. Then undo with "Mark as not taught".</t>
        </is>
      </c>
      <c r="G41" s="5" t="inlineStr">
        <is>
          <t>Maths · Std 1 A</t>
        </is>
      </c>
      <c r="H41" s="5" t="inlineStr">
        <is>
          <t>The topic shows "Taught on (today) by Me" and the % goes up; after undo it goes back.</t>
        </is>
      </c>
      <c r="I41" s="5" t="inlineStr">
        <is>
          <t>High</t>
        </is>
      </c>
      <c r="J41" s="5" t="inlineStr">
        <is>
          <t>Not run</t>
        </is>
      </c>
      <c r="K41" s="5" t="inlineStr"/>
      <c r="L41" s="5" t="inlineStr"/>
      <c r="M41" s="5" t="inlineStr"/>
    </row>
    <row r="42">
      <c r="A42" s="5" t="inlineStr">
        <is>
          <t>TC-28</t>
        </is>
      </c>
      <c r="B42" s="5" t="inlineStr">
        <is>
          <t>Teacher – Marks</t>
        </is>
      </c>
      <c r="C42" s="5" t="inlineStr">
        <is>
          <t>Teacher</t>
        </is>
      </c>
      <c r="D42" s="5" t="inlineStr">
        <is>
          <t>Phone</t>
        </is>
      </c>
      <c r="E42" s="5" t="inlineStr">
        <is>
          <t>More → Marks</t>
        </is>
      </c>
      <c r="F42" s="5" t="inlineStr">
        <is>
          <t>Choose Class Std 1 A, Subject Maths, Term Semester 1. In "Maximum marks for everyone" type 50 and tap "Fill in". Enter marks for 3 children. Save.</t>
        </is>
      </c>
      <c r="G42" s="5" t="inlineStr">
        <is>
          <t>Marks: 45, 30, 12</t>
        </is>
      </c>
      <c r="H42" s="5" t="inlineStr">
        <is>
          <t>"Saved". Reopen Marks: the numbers are still there.</t>
        </is>
      </c>
      <c r="I42" s="5" t="inlineStr">
        <is>
          <t>High</t>
        </is>
      </c>
      <c r="J42" s="5" t="inlineStr">
        <is>
          <t>Not run</t>
        </is>
      </c>
      <c r="K42" s="5" t="inlineStr"/>
      <c r="L42" s="5" t="inlineStr"/>
      <c r="M42" s="5" t="inlineStr"/>
    </row>
    <row r="43">
      <c r="A43" s="5" t="inlineStr">
        <is>
          <t>TC-29</t>
        </is>
      </c>
      <c r="B43" s="5" t="inlineStr">
        <is>
          <t>Teacher – Marks</t>
        </is>
      </c>
      <c r="C43" s="5" t="inlineStr">
        <is>
          <t>Teacher</t>
        </is>
      </c>
      <c r="D43" s="5" t="inlineStr">
        <is>
          <t>Phone</t>
        </is>
      </c>
      <c r="E43" s="5" t="inlineStr">
        <is>
          <t>More → Marks</t>
        </is>
      </c>
      <c r="F43" s="5" t="inlineStr">
        <is>
          <t>Enter marks higher than "Out of".</t>
        </is>
      </c>
      <c r="G43" s="5" t="inlineStr">
        <is>
          <t>60 out of 50</t>
        </is>
      </c>
      <c r="H43" s="5" t="inlineStr">
        <is>
          <t>Message "More than maximum marks". Not saved.</t>
        </is>
      </c>
      <c r="I43" s="5" t="inlineStr">
        <is>
          <t>Medium</t>
        </is>
      </c>
      <c r="J43" s="5" t="inlineStr">
        <is>
          <t>Not run</t>
        </is>
      </c>
      <c r="K43" s="5" t="inlineStr"/>
      <c r="L43" s="5" t="inlineStr"/>
      <c r="M43" s="5" t="inlineStr"/>
    </row>
    <row r="44">
      <c r="A44" s="5" t="inlineStr">
        <is>
          <t>TC-30</t>
        </is>
      </c>
      <c r="B44" s="5" t="inlineStr">
        <is>
          <t>Teacher – Marks</t>
        </is>
      </c>
      <c r="C44" s="5" t="inlineStr">
        <is>
          <t>Teacher</t>
        </is>
      </c>
      <c r="D44" s="5" t="inlineStr">
        <is>
          <t>Phone</t>
        </is>
      </c>
      <c r="E44" s="5" t="inlineStr">
        <is>
          <t>Riya Kale → Report card</t>
        </is>
      </c>
      <c r="F44" s="5" t="inlineStr">
        <is>
          <t>Open the "Report card" tab, choose Semester 1, tap "Open report card", then "Print / Save PDF".</t>
        </is>
      </c>
      <c r="G44" s="5" t="inlineStr"/>
      <c r="H44" s="5" t="inlineStr">
        <is>
          <t>Shows school name, child details, marks, attendance line and signature lines (Class teacher, Principal, Parent). The print / save as PDF screen opens.</t>
        </is>
      </c>
      <c r="I44" s="5" t="inlineStr">
        <is>
          <t>Medium</t>
        </is>
      </c>
      <c r="J44" s="5" t="inlineStr">
        <is>
          <t>Not run</t>
        </is>
      </c>
      <c r="K44" s="5" t="inlineStr"/>
      <c r="L44" s="5" t="inlineStr"/>
      <c r="M44" s="5" t="inlineStr"/>
    </row>
    <row r="45">
      <c r="A45" s="5" t="inlineStr">
        <is>
          <t>TC-31</t>
        </is>
      </c>
      <c r="B45" s="5" t="inlineStr">
        <is>
          <t>Teacher – Old year</t>
        </is>
      </c>
      <c r="C45" s="5" t="inlineStr">
        <is>
          <t>Teacher</t>
        </is>
      </c>
      <c r="D45" s="5" t="inlineStr">
        <is>
          <t>Phone</t>
        </is>
      </c>
      <c r="E45" s="5" t="inlineStr">
        <is>
          <t>Year box at the top</t>
        </is>
      </c>
      <c r="F45" s="5" t="inlineStr">
        <is>
          <t>Change the year at the top from 2026-27 to the year before. Open Attendance and a child. Then choose the current year again.</t>
        </is>
      </c>
      <c r="G45" s="5" t="inlineStr"/>
      <c r="H45" s="5" t="inlineStr">
        <is>
          <t>Banner "You are viewing … Old years can be seen but not changed." Nothing can be saved in the old year. "Back to …" returns to the current year.</t>
        </is>
      </c>
      <c r="I45" s="5" t="inlineStr">
        <is>
          <t>Medium</t>
        </is>
      </c>
      <c r="J45" s="5" t="inlineStr">
        <is>
          <t>Not run</t>
        </is>
      </c>
      <c r="K45" s="5" t="inlineStr"/>
      <c r="L45" s="5" t="inlineStr"/>
      <c r="M45" s="5" t="inlineStr"/>
    </row>
    <row r="46">
      <c r="A46" s="5" t="inlineStr">
        <is>
          <t>TC-32</t>
        </is>
      </c>
      <c r="B46" s="5" t="inlineStr">
        <is>
          <t>Teacher – Me</t>
        </is>
      </c>
      <c r="C46" s="5" t="inlineStr">
        <is>
          <t>Teacher</t>
        </is>
      </c>
      <c r="D46" s="5" t="inlineStr">
        <is>
          <t>Phone</t>
        </is>
      </c>
      <c r="E46" s="5" t="inlineStr">
        <is>
          <t>More → Me → Language</t>
        </is>
      </c>
      <c r="F46" s="5" t="inlineStr">
        <is>
          <t>Choose हिंदी. Open Today, Attendance, Students. Then choose English again.</t>
        </is>
      </c>
      <c r="G46" s="5" t="inlineStr"/>
      <c r="H46" s="5" t="inlineStr">
        <is>
          <t>The whole app (menus, buttons, messages) is in Hindi, then back to English. Note any word still in English.</t>
        </is>
      </c>
      <c r="I46" s="5" t="inlineStr">
        <is>
          <t>High</t>
        </is>
      </c>
      <c r="J46" s="5" t="inlineStr">
        <is>
          <t>Not run</t>
        </is>
      </c>
      <c r="K46" s="5" t="inlineStr"/>
      <c r="L46" s="5" t="inlineStr"/>
      <c r="M46" s="5" t="inlineStr"/>
    </row>
    <row r="47">
      <c r="A47" s="5" t="inlineStr">
        <is>
          <t>TC-33</t>
        </is>
      </c>
      <c r="B47" s="5" t="inlineStr">
        <is>
          <t>Teacher – Me</t>
        </is>
      </c>
      <c r="C47" s="5" t="inlineStr">
        <is>
          <t>Teacher</t>
        </is>
      </c>
      <c r="D47" s="5" t="inlineStr">
        <is>
          <t>Phone</t>
        </is>
      </c>
      <c r="E47" s="5" t="inlineStr">
        <is>
          <t>More → Me → Text size</t>
        </is>
      </c>
      <c r="F47" s="5" t="inlineStr">
        <is>
          <t>Choose the biggest "Aa". Open Today and Take attendance. Then choose Normal again.</t>
        </is>
      </c>
      <c r="G47" s="5" t="inlineStr"/>
      <c r="H47" s="5" t="inlineStr">
        <is>
          <t>Text gets bigger everywhere. Nothing overlaps or is cut, no sideways scrolling. Back to normal after.</t>
        </is>
      </c>
      <c r="I47" s="5" t="inlineStr">
        <is>
          <t>Medium</t>
        </is>
      </c>
      <c r="J47" s="5" t="inlineStr">
        <is>
          <t>Not run</t>
        </is>
      </c>
      <c r="K47" s="5" t="inlineStr"/>
      <c r="L47" s="5" t="inlineStr"/>
      <c r="M47" s="5" t="inlineStr"/>
    </row>
    <row r="48">
      <c r="A48" s="5" t="inlineStr">
        <is>
          <t>TC-34</t>
        </is>
      </c>
      <c r="B48" s="5" t="inlineStr">
        <is>
          <t>Teacher – Me</t>
        </is>
      </c>
      <c r="C48" s="5" t="inlineStr">
        <is>
          <t>Teacher</t>
        </is>
      </c>
      <c r="D48" s="5" t="inlineStr">
        <is>
          <t>Phone</t>
        </is>
      </c>
      <c r="E48" s="5" t="inlineStr">
        <is>
          <t>More → Me → photo</t>
        </is>
      </c>
      <c r="F48" s="5" t="inlineStr">
        <is>
          <t>Tap the camera on your own picture and choose a photo.</t>
        </is>
      </c>
      <c r="G48" s="5" t="inlineStr">
        <is>
          <t>test-files/teacher-photo.jpg</t>
        </is>
      </c>
      <c r="H48" s="5" t="inlineStr">
        <is>
          <t>Your photo shows on the Me page.</t>
        </is>
      </c>
      <c r="I48" s="5" t="inlineStr">
        <is>
          <t>Low</t>
        </is>
      </c>
      <c r="J48" s="5" t="inlineStr">
        <is>
          <t>Not run</t>
        </is>
      </c>
      <c r="K48" s="5" t="inlineStr"/>
      <c r="L48" s="5" t="inlineStr"/>
      <c r="M48" s="5" t="inlineStr"/>
    </row>
    <row r="49">
      <c r="A49" s="5" t="inlineStr">
        <is>
          <t>TC-35</t>
        </is>
      </c>
      <c r="B49" s="5" t="inlineStr">
        <is>
          <t>Teacher – Access</t>
        </is>
      </c>
      <c r="C49" s="5" t="inlineStr">
        <is>
          <t>Teacher</t>
        </is>
      </c>
      <c r="D49" s="5" t="inlineStr">
        <is>
          <t>Phone</t>
        </is>
      </c>
      <c r="E49" s="5" t="inlineStr">
        <is>
          <t>Menus</t>
        </is>
      </c>
      <c r="F49" s="5" t="inlineStr">
        <is>
          <t>Look at the menus. Then type /staff at the end of the app address and open it.</t>
        </is>
      </c>
      <c r="G49" s="5" t="inlineStr"/>
      <c r="H49" s="5" t="inlineStr">
        <is>
          <t>No "Teachers &amp; staff", "School settings", "Academic years" or "Activity log" for a teacher. Opening /staff goes back to the Today page.</t>
        </is>
      </c>
      <c r="I49" s="5" t="inlineStr">
        <is>
          <t>High</t>
        </is>
      </c>
      <c r="J49" s="5" t="inlineStr">
        <is>
          <t>Not run</t>
        </is>
      </c>
      <c r="K49" s="5" t="inlineStr"/>
      <c r="L49" s="5" t="inlineStr"/>
      <c r="M49" s="5" t="inlineStr"/>
    </row>
    <row r="50">
      <c r="A50" s="5" t="inlineStr">
        <is>
          <t>TC-36</t>
        </is>
      </c>
      <c r="B50" s="5" t="inlineStr">
        <is>
          <t>Teacher – Subject teacher</t>
        </is>
      </c>
      <c r="C50" s="5" t="inlineStr">
        <is>
          <t>Teacher (Rahul)</t>
        </is>
      </c>
      <c r="D50" s="5" t="inlineStr">
        <is>
          <t>Phone</t>
        </is>
      </c>
      <c r="E50" s="5" t="inlineStr">
        <is>
          <t>Today</t>
        </is>
      </c>
      <c r="F50" s="5" t="inlineStr">
        <is>
          <t>Log in as Rahul.</t>
        </is>
      </c>
      <c r="G50" s="5" t="inlineStr">
        <is>
          <t>rahul@demo.test</t>
        </is>
      </c>
      <c r="H50" s="5" t="inlineStr">
        <is>
          <t>Std 5 A card shows attendance already done (green). "My subjects" lists Maths and English for Std 5 A, 6 A, 7 A.</t>
        </is>
      </c>
      <c r="I50" s="5" t="inlineStr">
        <is>
          <t>Medium</t>
        </is>
      </c>
      <c r="J50" s="5" t="inlineStr">
        <is>
          <t>Not run</t>
        </is>
      </c>
      <c r="K50" s="5" t="inlineStr"/>
      <c r="L50" s="5" t="inlineStr"/>
      <c r="M50" s="5" t="inlineStr"/>
    </row>
    <row r="51">
      <c r="A51" s="5" t="inlineStr">
        <is>
          <t>CL-01</t>
        </is>
      </c>
      <c r="B51" s="5" t="inlineStr">
        <is>
          <t>Office clerk</t>
        </is>
      </c>
      <c r="C51" s="5" t="inlineStr">
        <is>
          <t>Office clerk</t>
        </is>
      </c>
      <c r="D51" s="5" t="inlineStr">
        <is>
          <t>Computer</t>
        </is>
      </c>
      <c r="E51" s="5" t="inlineStr">
        <is>
          <t>Menu</t>
        </is>
      </c>
      <c r="F51" s="5" t="inlineStr">
        <is>
          <t>Log in as the clerk.</t>
        </is>
      </c>
      <c r="G51" s="5" t="inlineStr">
        <is>
          <t>clerk@demo.test</t>
        </is>
      </c>
      <c r="H51" s="5" t="inlineStr">
        <is>
          <t>Opens the Dashboard. Menu has Dashboard, Attendance, Students, Syllabus, Me. No Marks and no school setup pages.</t>
        </is>
      </c>
      <c r="I51" s="5" t="inlineStr">
        <is>
          <t>High</t>
        </is>
      </c>
      <c r="J51" s="5" t="inlineStr">
        <is>
          <t>Not run</t>
        </is>
      </c>
      <c r="K51" s="5" t="inlineStr"/>
      <c r="L51" s="5" t="inlineStr"/>
      <c r="M51" s="5" t="inlineStr"/>
    </row>
    <row r="52">
      <c r="A52" s="5" t="inlineStr">
        <is>
          <t>CL-02</t>
        </is>
      </c>
      <c r="B52" s="5" t="inlineStr">
        <is>
          <t>Office clerk</t>
        </is>
      </c>
      <c r="C52" s="5" t="inlineStr">
        <is>
          <t>Office clerk</t>
        </is>
      </c>
      <c r="D52" s="5" t="inlineStr">
        <is>
          <t>Computer</t>
        </is>
      </c>
      <c r="E52" s="5" t="inlineStr">
        <is>
          <t>Attendance → Std 1 A</t>
        </is>
      </c>
      <c r="F52" s="5" t="inlineStr">
        <is>
          <t>Open Attendance, then a class.</t>
        </is>
      </c>
      <c r="G52" s="5" t="inlineStr"/>
      <c r="H52" s="5" t="inlineStr">
        <is>
          <t>The class list is shown with a note "You can see this attendance, but only teachers and the principal can change it." No Save button.</t>
        </is>
      </c>
      <c r="I52" s="5" t="inlineStr">
        <is>
          <t>High</t>
        </is>
      </c>
      <c r="J52" s="5" t="inlineStr">
        <is>
          <t>Not run</t>
        </is>
      </c>
      <c r="K52" s="5" t="inlineStr"/>
      <c r="L52" s="5" t="inlineStr"/>
      <c r="M52" s="5" t="inlineStr"/>
    </row>
    <row r="53">
      <c r="A53" s="5" t="inlineStr">
        <is>
          <t>CL-03</t>
        </is>
      </c>
      <c r="B53" s="5" t="inlineStr">
        <is>
          <t>Office clerk</t>
        </is>
      </c>
      <c r="C53" s="5" t="inlineStr">
        <is>
          <t>Office clerk</t>
        </is>
      </c>
      <c r="D53" s="5" t="inlineStr">
        <is>
          <t>Computer</t>
        </is>
      </c>
      <c r="E53" s="5" t="inlineStr">
        <is>
          <t>Students → Add student</t>
        </is>
      </c>
      <c r="F53" s="5" t="inlineStr">
        <is>
          <t>Add a child with all details: open "More details (parents, address, documents)" and fill them. Leave "Register number (GR)" empty.</t>
        </is>
      </c>
      <c r="G53" s="5" t="inlineStr">
        <is>
          <t>QA Child Two, Std 2 A, Boy, DOB 10/05/2019, parent Sunita Rane 9876501234, address Kalwa</t>
        </is>
      </c>
      <c r="H53" s="5" t="inlineStr">
        <is>
          <t>Saved with the next register number (SS-…). All details show on the profile.</t>
        </is>
      </c>
      <c r="I53" s="5" t="inlineStr">
        <is>
          <t>High</t>
        </is>
      </c>
      <c r="J53" s="5" t="inlineStr">
        <is>
          <t>Not run</t>
        </is>
      </c>
      <c r="K53" s="5" t="inlineStr"/>
      <c r="L53" s="5" t="inlineStr"/>
      <c r="M53" s="5" t="inlineStr"/>
    </row>
    <row r="54">
      <c r="A54" s="5" t="inlineStr">
        <is>
          <t>CL-04</t>
        </is>
      </c>
      <c r="B54" s="5" t="inlineStr">
        <is>
          <t>Office clerk</t>
        </is>
      </c>
      <c r="C54" s="5" t="inlineStr">
        <is>
          <t>Office clerk</t>
        </is>
      </c>
      <c r="D54" s="5" t="inlineStr">
        <is>
          <t>Computer</t>
        </is>
      </c>
      <c r="E54" s="5" t="inlineStr">
        <is>
          <t>Students → Add student</t>
        </is>
      </c>
      <c r="F54" s="5" t="inlineStr">
        <is>
          <t>Tick "Date of birth not known" and fill approximate age.</t>
        </is>
      </c>
      <c r="G54" s="5" t="inlineStr">
        <is>
          <t>QA Child Three, Std 3 A, age 8</t>
        </is>
      </c>
      <c r="H54" s="5" t="inlineStr">
        <is>
          <t>Saved. The profile shows the age as approximate.</t>
        </is>
      </c>
      <c r="I54" s="5" t="inlineStr">
        <is>
          <t>Medium</t>
        </is>
      </c>
      <c r="J54" s="5" t="inlineStr">
        <is>
          <t>Not run</t>
        </is>
      </c>
      <c r="K54" s="5" t="inlineStr"/>
      <c r="L54" s="5" t="inlineStr"/>
      <c r="M54" s="5" t="inlineStr"/>
    </row>
    <row r="55">
      <c r="A55" s="5" t="inlineStr">
        <is>
          <t>CL-05</t>
        </is>
      </c>
      <c r="B55" s="5" t="inlineStr">
        <is>
          <t>Office clerk</t>
        </is>
      </c>
      <c r="C55" s="5" t="inlineStr">
        <is>
          <t>Office clerk</t>
        </is>
      </c>
      <c r="D55" s="5" t="inlineStr">
        <is>
          <t>Computer</t>
        </is>
      </c>
      <c r="E55" s="5" t="inlineStr">
        <is>
          <t>Students → Add student</t>
        </is>
      </c>
      <c r="F55" s="5" t="inlineStr">
        <is>
          <t>Type a wrong mobile number.</t>
        </is>
      </c>
      <c r="G55" s="5" t="inlineStr">
        <is>
          <t>12345</t>
        </is>
      </c>
      <c r="H55" s="5" t="inlineStr">
        <is>
          <t>Message "Enter a valid mobile number". Not saved until fixed.</t>
        </is>
      </c>
      <c r="I55" s="5" t="inlineStr">
        <is>
          <t>Medium</t>
        </is>
      </c>
      <c r="J55" s="5" t="inlineStr">
        <is>
          <t>Not run</t>
        </is>
      </c>
      <c r="K55" s="5" t="inlineStr"/>
      <c r="L55" s="5" t="inlineStr"/>
      <c r="M55" s="5" t="inlineStr"/>
    </row>
    <row r="56">
      <c r="A56" s="5" t="inlineStr">
        <is>
          <t>CL-06</t>
        </is>
      </c>
      <c r="B56" s="5" t="inlineStr">
        <is>
          <t>Office clerk – Import</t>
        </is>
      </c>
      <c r="C56" s="5" t="inlineStr">
        <is>
          <t>Office clerk</t>
        </is>
      </c>
      <c r="D56" s="5" t="inlineStr">
        <is>
          <t>Computer</t>
        </is>
      </c>
      <c r="E56" s="5" t="inlineStr">
        <is>
          <t>Students → Import from Excel</t>
        </is>
      </c>
      <c r="F56" s="5" t="inlineStr">
        <is>
          <t>Tap "Download template" and open the file.</t>
        </is>
      </c>
      <c r="G56" s="5" t="inlineStr"/>
      <c r="H56" s="5" t="inlineStr">
        <is>
          <t>An Excel file downloads with columns name*, class*, gender, date_of_birth … and a Help sheet listing the classes.</t>
        </is>
      </c>
      <c r="I56" s="5" t="inlineStr">
        <is>
          <t>Medium</t>
        </is>
      </c>
      <c r="J56" s="5" t="inlineStr">
        <is>
          <t>Not run</t>
        </is>
      </c>
      <c r="K56" s="5" t="inlineStr"/>
      <c r="L56" s="5" t="inlineStr"/>
      <c r="M56" s="5" t="inlineStr"/>
    </row>
    <row r="57">
      <c r="A57" s="5" t="inlineStr">
        <is>
          <t>CL-07</t>
        </is>
      </c>
      <c r="B57" s="5" t="inlineStr">
        <is>
          <t>Office clerk – Import</t>
        </is>
      </c>
      <c r="C57" s="5" t="inlineStr">
        <is>
          <t>Office clerk</t>
        </is>
      </c>
      <c r="D57" s="5" t="inlineStr">
        <is>
          <t>Computer</t>
        </is>
      </c>
      <c r="E57" s="5" t="inlineStr">
        <is>
          <t>Students → Import from Excel</t>
        </is>
      </c>
      <c r="F57" s="5" t="inlineStr">
        <is>
          <t>Choose the good file. Check the rows. Tap "Import 5 students".</t>
        </is>
      </c>
      <c r="G57" s="5" t="inlineStr">
        <is>
          <t>test-files/students-import-5-good.xlsx</t>
        </is>
      </c>
      <c r="H57" s="5" t="inlineStr">
        <is>
          <t>"5 of 5 rows are ready". After import: "5 students imported". Asha Lokhande and Rohan Dhotre are now in Std 1 A.</t>
        </is>
      </c>
      <c r="I57" s="5" t="inlineStr">
        <is>
          <t>High</t>
        </is>
      </c>
      <c r="J57" s="5" t="inlineStr">
        <is>
          <t>Not run</t>
        </is>
      </c>
      <c r="K57" s="5" t="inlineStr"/>
      <c r="L57" s="5" t="inlineStr"/>
      <c r="M57" s="5" t="inlineStr"/>
    </row>
    <row r="58">
      <c r="A58" s="5" t="inlineStr">
        <is>
          <t>CL-08</t>
        </is>
      </c>
      <c r="B58" s="5" t="inlineStr">
        <is>
          <t>Office clerk – Import</t>
        </is>
      </c>
      <c r="C58" s="5" t="inlineStr">
        <is>
          <t>Office clerk</t>
        </is>
      </c>
      <c r="D58" s="5" t="inlineStr">
        <is>
          <t>Computer</t>
        </is>
      </c>
      <c r="E58" s="5" t="inlineStr">
        <is>
          <t>Students → Import from Excel</t>
        </is>
      </c>
      <c r="F58" s="5" t="inlineStr">
        <is>
          <t>Choose the file with mistakes.</t>
        </is>
      </c>
      <c r="G58" s="5" t="inlineStr">
        <is>
          <t>test-files/students-import-with-errors.xlsx</t>
        </is>
      </c>
      <c r="H58" s="5" t="inlineStr">
        <is>
          <t>"1 of 5 rows are ready". Problems in red: Ajay Borse "Class: Class not found", row 4 "Full name: Required", Tara Jogdand "Date of birth: Wrong date (use DD/MM/YYYY)", Vikas Ingle "Parent mobile number: Please check this". "Import 1 student" adds only Meghna Salve.</t>
        </is>
      </c>
      <c r="I58" s="5" t="inlineStr">
        <is>
          <t>High</t>
        </is>
      </c>
      <c r="J58" s="5" t="inlineStr">
        <is>
          <t>Not run</t>
        </is>
      </c>
      <c r="K58" s="5" t="inlineStr"/>
      <c r="L58" s="5" t="inlineStr"/>
      <c r="M58" s="5" t="inlineStr"/>
    </row>
    <row r="59">
      <c r="A59" s="5" t="inlineStr">
        <is>
          <t>CL-09</t>
        </is>
      </c>
      <c r="B59" s="5" t="inlineStr">
        <is>
          <t>Office clerk – Import</t>
        </is>
      </c>
      <c r="C59" s="5" t="inlineStr">
        <is>
          <t>Office clerk</t>
        </is>
      </c>
      <c r="D59" s="5" t="inlineStr">
        <is>
          <t>Phone</t>
        </is>
      </c>
      <c r="E59" s="5" t="inlineStr">
        <is>
          <t>Students → Import from Excel</t>
        </is>
      </c>
      <c r="F59" s="5" t="inlineStr">
        <is>
          <t>On a phone, import the CSV file.</t>
        </is>
      </c>
      <c r="G59" s="5" t="inlineStr">
        <is>
          <t>test-files/students-import-3-rows.csv</t>
        </is>
      </c>
      <c r="H59" s="5" t="inlineStr">
        <is>
          <t>"3 of 3 rows are ready", then "3 students imported".</t>
        </is>
      </c>
      <c r="I59" s="5" t="inlineStr">
        <is>
          <t>Medium</t>
        </is>
      </c>
      <c r="J59" s="5" t="inlineStr">
        <is>
          <t>Not run</t>
        </is>
      </c>
      <c r="K59" s="5" t="inlineStr"/>
      <c r="L59" s="5" t="inlineStr"/>
      <c r="M59" s="5" t="inlineStr"/>
    </row>
    <row r="60">
      <c r="A60" s="5" t="inlineStr">
        <is>
          <t>CL-10</t>
        </is>
      </c>
      <c r="B60" s="5" t="inlineStr">
        <is>
          <t>Office clerk – Import</t>
        </is>
      </c>
      <c r="C60" s="5" t="inlineStr">
        <is>
          <t>Office clerk</t>
        </is>
      </c>
      <c r="D60" s="5" t="inlineStr">
        <is>
          <t>Computer</t>
        </is>
      </c>
      <c r="E60" s="5" t="inlineStr">
        <is>
          <t>Students → Import from Excel</t>
        </is>
      </c>
      <c r="F60" s="5" t="inlineStr">
        <is>
          <t>Choose the PDF file.</t>
        </is>
      </c>
      <c r="G60" s="5" t="inlineStr">
        <is>
          <t>test-files/not-a-photo.pdf</t>
        </is>
      </c>
      <c r="H60" s="5" t="inlineStr">
        <is>
          <t>"This file type is not allowed". Nothing imported.</t>
        </is>
      </c>
      <c r="I60" s="5" t="inlineStr">
        <is>
          <t>Medium</t>
        </is>
      </c>
      <c r="J60" s="5" t="inlineStr">
        <is>
          <t>Not run</t>
        </is>
      </c>
      <c r="K60" s="5" t="inlineStr"/>
      <c r="L60" s="5" t="inlineStr"/>
      <c r="M60" s="5" t="inlineStr"/>
    </row>
    <row r="61">
      <c r="A61" s="5" t="inlineStr">
        <is>
          <t>CL-11</t>
        </is>
      </c>
      <c r="B61" s="5" t="inlineStr">
        <is>
          <t>Office clerk – Leaving</t>
        </is>
      </c>
      <c r="C61" s="5" t="inlineStr">
        <is>
          <t>Office clerk</t>
        </is>
      </c>
      <c r="D61" s="5" t="inlineStr">
        <is>
          <t>Phone + Computer</t>
        </is>
      </c>
      <c r="E61" s="5" t="inlineStr">
        <is>
          <t>Nikhil Sonawane → Mark as left school</t>
        </is>
      </c>
      <c r="F61" s="5" t="inlineStr">
        <is>
          <t>Open Nikhil Sonawane. Tap "Mark as left school". Choose a reason, add a note, confirm.</t>
        </is>
      </c>
      <c r="G61" s="5" t="inlineStr">
        <is>
          <t>Reason: Joined another school; note: Moved to TMC School No. 12</t>
        </is>
      </c>
      <c r="H61" s="5" t="inlineStr">
        <is>
          <t>Status "Left school" with the date. Nikhil is no longer in the Std 3 A attendance list.</t>
        </is>
      </c>
      <c r="I61" s="5" t="inlineStr">
        <is>
          <t>High</t>
        </is>
      </c>
      <c r="J61" s="5" t="inlineStr">
        <is>
          <t>Not run</t>
        </is>
      </c>
      <c r="K61" s="5" t="inlineStr"/>
      <c r="L61" s="5" t="inlineStr"/>
      <c r="M61" s="5" t="inlineStr"/>
    </row>
    <row r="62">
      <c r="A62" s="5" t="inlineStr">
        <is>
          <t>CL-12</t>
        </is>
      </c>
      <c r="B62" s="5" t="inlineStr">
        <is>
          <t>Office clerk – Leaving</t>
        </is>
      </c>
      <c r="C62" s="5" t="inlineStr">
        <is>
          <t>Office clerk</t>
        </is>
      </c>
      <c r="D62" s="5" t="inlineStr">
        <is>
          <t>Phone + Computer</t>
        </is>
      </c>
      <c r="E62" s="5" t="inlineStr">
        <is>
          <t>Nikhil Sonawane → Leaving certificate</t>
        </is>
      </c>
      <c r="F62" s="5" t="inlineStr">
        <is>
          <t>Tap "Leaving certificate", then "Print / Save PDF".</t>
        </is>
      </c>
      <c r="G62" s="5" t="inlineStr"/>
      <c r="H62" s="5" t="inlineStr">
        <is>
          <t>Certificate with school name, GR number, name, parents, date of birth, last class, attendance, date of leaving. Print / save as PDF opens; nothing is cut off.</t>
        </is>
      </c>
      <c r="I62" s="5" t="inlineStr">
        <is>
          <t>High</t>
        </is>
      </c>
      <c r="J62" s="5" t="inlineStr">
        <is>
          <t>Not run</t>
        </is>
      </c>
      <c r="K62" s="5" t="inlineStr"/>
      <c r="L62" s="5" t="inlineStr"/>
      <c r="M62" s="5" t="inlineStr"/>
    </row>
    <row r="63">
      <c r="A63" s="5" t="inlineStr">
        <is>
          <t>CL-13</t>
        </is>
      </c>
      <c r="B63" s="5" t="inlineStr">
        <is>
          <t>Office clerk – Leaving</t>
        </is>
      </c>
      <c r="C63" s="5" t="inlineStr">
        <is>
          <t>Office clerk</t>
        </is>
      </c>
      <c r="D63" s="5" t="inlineStr">
        <is>
          <t>Computer</t>
        </is>
      </c>
      <c r="E63" s="5" t="inlineStr">
        <is>
          <t>Riya Kale → (address)/certificate</t>
        </is>
      </c>
      <c r="F63" s="5" t="inlineStr">
        <is>
          <t>Open Riya Kale, add /certificate at the end of the address.</t>
        </is>
      </c>
      <c r="G63" s="5" t="inlineStr"/>
      <c r="H63" s="5" t="inlineStr">
        <is>
          <t>Message "This child is still studying here. Mark the child as left before printing the certificate."</t>
        </is>
      </c>
      <c r="I63" s="5" t="inlineStr">
        <is>
          <t>Low</t>
        </is>
      </c>
      <c r="J63" s="5" t="inlineStr">
        <is>
          <t>Not run</t>
        </is>
      </c>
      <c r="K63" s="5" t="inlineStr"/>
      <c r="L63" s="5" t="inlineStr"/>
      <c r="M63" s="5" t="inlineStr"/>
    </row>
    <row r="64">
      <c r="A64" s="5" t="inlineStr">
        <is>
          <t>CL-14</t>
        </is>
      </c>
      <c r="B64" s="5" t="inlineStr">
        <is>
          <t>Office clerk – Search</t>
        </is>
      </c>
      <c r="C64" s="5" t="inlineStr">
        <is>
          <t>Office clerk</t>
        </is>
      </c>
      <c r="D64" s="5" t="inlineStr">
        <is>
          <t>Phone + Computer</t>
        </is>
      </c>
      <c r="E64" s="5" t="inlineStr">
        <is>
          <t>Students → search</t>
        </is>
      </c>
      <c r="F64" s="5" t="inlineStr">
        <is>
          <t>Search "Lata". Then tick "Search all years".</t>
        </is>
      </c>
      <c r="G64" s="5" t="inlineStr">
        <is>
          <t>Lata</t>
        </is>
      </c>
      <c r="H64" s="5" t="inlineStr">
        <is>
          <t>Without the tick: "No students found". With the tick: Lata Bhalerao, "Left school".</t>
        </is>
      </c>
      <c r="I64" s="5" t="inlineStr">
        <is>
          <t>High</t>
        </is>
      </c>
      <c r="J64" s="5" t="inlineStr">
        <is>
          <t>Not run</t>
        </is>
      </c>
      <c r="K64" s="5" t="inlineStr"/>
      <c r="L64" s="5" t="inlineStr"/>
      <c r="M64" s="5" t="inlineStr"/>
    </row>
    <row r="65">
      <c r="A65" s="5" t="inlineStr">
        <is>
          <t>CL-15</t>
        </is>
      </c>
      <c r="B65" s="5" t="inlineStr">
        <is>
          <t>Office clerk – Search</t>
        </is>
      </c>
      <c r="C65" s="5" t="inlineStr">
        <is>
          <t>Office clerk</t>
        </is>
      </c>
      <c r="D65" s="5" t="inlineStr">
        <is>
          <t>Phone + Computer</t>
        </is>
      </c>
      <c r="E65" s="5" t="inlineStr">
        <is>
          <t>Lata Bhalerao → Re-admit</t>
        </is>
      </c>
      <c r="F65" s="5" t="inlineStr">
        <is>
          <t>Open Lata. Tap "Re-admit", choose Std 3 A, confirm.</t>
        </is>
      </c>
      <c r="G65" s="5" t="inlineStr">
        <is>
          <t>Std 3 A</t>
        </is>
      </c>
      <c r="H65" s="5" t="inlineStr">
        <is>
          <t>"Saved". Lata is "Studying" in Std 3 A and appears in Std 3 A attendance. Her old year stays under "Past years".</t>
        </is>
      </c>
      <c r="I65" s="5" t="inlineStr">
        <is>
          <t>High</t>
        </is>
      </c>
      <c r="J65" s="5" t="inlineStr">
        <is>
          <t>Not run</t>
        </is>
      </c>
      <c r="K65" s="5" t="inlineStr"/>
      <c r="L65" s="5" t="inlineStr"/>
      <c r="M65" s="5" t="inlineStr"/>
    </row>
    <row r="66">
      <c r="A66" s="5" t="inlineStr">
        <is>
          <t>CL-16</t>
        </is>
      </c>
      <c r="B66" s="5" t="inlineStr">
        <is>
          <t>Office clerk – Health</t>
        </is>
      </c>
      <c r="C66" s="5" t="inlineStr">
        <is>
          <t>Office clerk</t>
        </is>
      </c>
      <c r="D66" s="5" t="inlineStr">
        <is>
          <t>Phone + Computer</t>
        </is>
      </c>
      <c r="E66" s="5" t="inlineStr">
        <is>
          <t>Swati Gholap → Health</t>
        </is>
      </c>
      <c r="F66" s="5" t="inlineStr">
        <is>
          <t>Open Swati Gholap, tab Health.</t>
        </is>
      </c>
      <c r="G66" s="5" t="inlineStr"/>
      <c r="H66" s="5" t="inlineStr">
        <is>
          <t>Message "The last check-up says this child needs to see a doctor again." with the note about her eyes.</t>
        </is>
      </c>
      <c r="I66" s="5" t="inlineStr">
        <is>
          <t>Medium</t>
        </is>
      </c>
      <c r="J66" s="5" t="inlineStr">
        <is>
          <t>Not run</t>
        </is>
      </c>
      <c r="K66" s="5" t="inlineStr"/>
      <c r="L66" s="5" t="inlineStr"/>
      <c r="M66" s="5" t="inlineStr"/>
    </row>
    <row r="67">
      <c r="A67" s="5" t="inlineStr">
        <is>
          <t>CL-17</t>
        </is>
      </c>
      <c r="B67" s="5" t="inlineStr">
        <is>
          <t>Office clerk – Students</t>
        </is>
      </c>
      <c r="C67" s="5" t="inlineStr">
        <is>
          <t>Office clerk</t>
        </is>
      </c>
      <c r="D67" s="5" t="inlineStr">
        <is>
          <t>Computer</t>
        </is>
      </c>
      <c r="E67" s="5" t="inlineStr">
        <is>
          <t>Students → filters</t>
        </is>
      </c>
      <c r="F67" s="5" t="inlineStr">
        <is>
          <t>Use the Class filter (Std 4 A), then Status "Left school", then "All".</t>
        </is>
      </c>
      <c r="G67" s="5" t="inlineStr"/>
      <c r="H67" s="5" t="inlineStr">
        <is>
          <t>The list and the count ("… children") change with each filter.</t>
        </is>
      </c>
      <c r="I67" s="5" t="inlineStr">
        <is>
          <t>Medium</t>
        </is>
      </c>
      <c r="J67" s="5" t="inlineStr">
        <is>
          <t>Not run</t>
        </is>
      </c>
      <c r="K67" s="5" t="inlineStr"/>
      <c r="L67" s="5" t="inlineStr"/>
      <c r="M67" s="5" t="inlineStr"/>
    </row>
    <row r="68">
      <c r="A68" s="5" t="inlineStr">
        <is>
          <t>CL-18</t>
        </is>
      </c>
      <c r="B68" s="5" t="inlineStr">
        <is>
          <t>Office clerk – Students</t>
        </is>
      </c>
      <c r="C68" s="5" t="inlineStr">
        <is>
          <t>Office clerk</t>
        </is>
      </c>
      <c r="D68" s="5" t="inlineStr">
        <is>
          <t>Computer</t>
        </is>
      </c>
      <c r="E68" s="5" t="inlineStr">
        <is>
          <t>Students → Download Excel</t>
        </is>
      </c>
      <c r="F68" s="5" t="inlineStr">
        <is>
          <t>Tap "Download Excel".</t>
        </is>
      </c>
      <c r="G68" s="5" t="inlineStr"/>
      <c r="H68" s="5" t="inlineStr">
        <is>
          <t>An Excel file with the children of the list downloads and opens.</t>
        </is>
      </c>
      <c r="I68" s="5" t="inlineStr">
        <is>
          <t>Low</t>
        </is>
      </c>
      <c r="J68" s="5" t="inlineStr">
        <is>
          <t>Not run</t>
        </is>
      </c>
      <c r="K68" s="5" t="inlineStr"/>
      <c r="L68" s="5" t="inlineStr"/>
      <c r="M68" s="5" t="inlineStr"/>
    </row>
    <row r="69">
      <c r="A69" s="5" t="inlineStr">
        <is>
          <t>CL-19</t>
        </is>
      </c>
      <c r="B69" s="5" t="inlineStr">
        <is>
          <t>Office clerk – Register</t>
        </is>
      </c>
      <c r="C69" s="5" t="inlineStr">
        <is>
          <t>Office clerk</t>
        </is>
      </c>
      <c r="D69" s="5" t="inlineStr">
        <is>
          <t>Computer</t>
        </is>
      </c>
      <c r="E69" s="5" t="inlineStr">
        <is>
          <t>Attendance → Monthly register</t>
        </is>
      </c>
      <c r="F69" s="5" t="inlineStr">
        <is>
          <t>Choose Std 1 A and this month. Tap "Download Excel", then "Print / Save PDF".</t>
        </is>
      </c>
      <c r="G69" s="5" t="inlineStr"/>
      <c r="H69" s="5" t="inlineStr">
        <is>
          <t>Grid of children × days with P / A / L / LT, grey holidays, "Present each day" row. Excel downloads; print shows the whole register.</t>
        </is>
      </c>
      <c r="I69" s="5" t="inlineStr">
        <is>
          <t>Medium</t>
        </is>
      </c>
      <c r="J69" s="5" t="inlineStr">
        <is>
          <t>Not run</t>
        </is>
      </c>
      <c r="K69" s="5" t="inlineStr"/>
      <c r="L69" s="5" t="inlineStr"/>
      <c r="M69" s="5" t="inlineStr"/>
    </row>
    <row r="70">
      <c r="A70" s="5" t="inlineStr">
        <is>
          <t>PR-01</t>
        </is>
      </c>
      <c r="B70" s="5" t="inlineStr">
        <is>
          <t>Principal – Dashboard</t>
        </is>
      </c>
      <c r="C70" s="5" t="inlineStr">
        <is>
          <t>Principal</t>
        </is>
      </c>
      <c r="D70" s="5" t="inlineStr">
        <is>
          <t>Phone + Computer</t>
        </is>
      </c>
      <c r="E70" s="5" t="inlineStr">
        <is>
          <t>Dashboard</t>
        </is>
      </c>
      <c r="F70" s="5" t="inlineStr">
        <is>
          <t>Log in as the principal.</t>
        </is>
      </c>
      <c r="G70" s="5" t="inlineStr">
        <is>
          <t>principal@demo.test</t>
        </is>
      </c>
      <c r="H70" s="5" t="inlineStr">
        <is>
          <t>Dashboard with boxes: Students, Teachers, Classes, Attendance done today (x/8), Absent today, Meals to serve today. Numbers are not empty.</t>
        </is>
      </c>
      <c r="I70" s="5" t="inlineStr">
        <is>
          <t>High</t>
        </is>
      </c>
      <c r="J70" s="5" t="inlineStr">
        <is>
          <t>Not run</t>
        </is>
      </c>
      <c r="K70" s="5" t="inlineStr"/>
      <c r="L70" s="5" t="inlineStr"/>
      <c r="M70" s="5" t="inlineStr"/>
    </row>
    <row r="71">
      <c r="A71" s="5" t="inlineStr">
        <is>
          <t>PR-02</t>
        </is>
      </c>
      <c r="B71" s="5" t="inlineStr">
        <is>
          <t>Principal – Dashboard</t>
        </is>
      </c>
      <c r="C71" s="5" t="inlineStr">
        <is>
          <t>Principal</t>
        </is>
      </c>
      <c r="D71" s="5" t="inlineStr">
        <is>
          <t>Phone + Computer</t>
        </is>
      </c>
      <c r="E71" s="5" t="inlineStr">
        <is>
          <t>Dashboard</t>
        </is>
      </c>
      <c r="F71" s="5" t="inlineStr">
        <is>
          <t>Look at "Attendance not taken".</t>
        </is>
      </c>
      <c r="G71" s="5" t="inlineStr"/>
      <c r="H71" s="5" t="inlineStr">
        <is>
          <t>Lists classes still waiting today (at the start: Std 1 A and Std 3 A). After a teacher saves, that class goes away.</t>
        </is>
      </c>
      <c r="I71" s="5" t="inlineStr">
        <is>
          <t>High</t>
        </is>
      </c>
      <c r="J71" s="5" t="inlineStr">
        <is>
          <t>Not run</t>
        </is>
      </c>
      <c r="K71" s="5" t="inlineStr"/>
      <c r="L71" s="5" t="inlineStr"/>
      <c r="M71" s="5" t="inlineStr"/>
    </row>
    <row r="72">
      <c r="A72" s="5" t="inlineStr">
        <is>
          <t>PR-03</t>
        </is>
      </c>
      <c r="B72" s="5" t="inlineStr">
        <is>
          <t>Principal – Dashboard</t>
        </is>
      </c>
      <c r="C72" s="5" t="inlineStr">
        <is>
          <t>Principal</t>
        </is>
      </c>
      <c r="D72" s="5" t="inlineStr">
        <is>
          <t>Phone</t>
        </is>
      </c>
      <c r="E72" s="5" t="inlineStr">
        <is>
          <t>Dashboard → Absent several days in a row</t>
        </is>
      </c>
      <c r="F72" s="5" t="inlineStr">
        <is>
          <t>Find Kiran Thakur. Tap her WhatsApp icon.</t>
        </is>
      </c>
      <c r="G72" s="5" t="inlineStr">
        <is>
          <t>Kiran Thakur</t>
        </is>
      </c>
      <c r="H72" s="5" t="inlineStr">
        <is>
          <t>Kiran Thakur, Std 4 A, "5 days". WhatsApp opens with a ready message to the family.</t>
        </is>
      </c>
      <c r="I72" s="5" t="inlineStr">
        <is>
          <t>High</t>
        </is>
      </c>
      <c r="J72" s="5" t="inlineStr">
        <is>
          <t>Not run</t>
        </is>
      </c>
      <c r="K72" s="5" t="inlineStr"/>
      <c r="L72" s="5" t="inlineStr"/>
      <c r="M72" s="5" t="inlineStr"/>
    </row>
    <row r="73">
      <c r="A73" s="5" t="inlineStr">
        <is>
          <t>PR-04</t>
        </is>
      </c>
      <c r="B73" s="5" t="inlineStr">
        <is>
          <t>Principal – Dashboard</t>
        </is>
      </c>
      <c r="C73" s="5" t="inlineStr">
        <is>
          <t>Principal</t>
        </is>
      </c>
      <c r="D73" s="5" t="inlineStr">
        <is>
          <t>Phone + Computer</t>
        </is>
      </c>
      <c r="E73" s="5" t="inlineStr">
        <is>
          <t>Dashboard → Children who often miss school</t>
        </is>
      </c>
      <c r="F73" s="5" t="inlineStr">
        <is>
          <t>Look at the list.</t>
        </is>
      </c>
      <c r="G73" s="5" t="inlineStr"/>
      <c r="H73" s="5" t="inlineStr">
        <is>
          <t>Kiran Thakur is listed with her % (below 75%) and Std 4 A.</t>
        </is>
      </c>
      <c r="I73" s="5" t="inlineStr">
        <is>
          <t>Medium</t>
        </is>
      </c>
      <c r="J73" s="5" t="inlineStr">
        <is>
          <t>Not run</t>
        </is>
      </c>
      <c r="K73" s="5" t="inlineStr"/>
      <c r="L73" s="5" t="inlineStr"/>
      <c r="M73" s="5" t="inlineStr"/>
    </row>
    <row r="74">
      <c r="A74" s="5" t="inlineStr">
        <is>
          <t>PR-05</t>
        </is>
      </c>
      <c r="B74" s="5" t="inlineStr">
        <is>
          <t>Principal – Dashboard</t>
        </is>
      </c>
      <c r="C74" s="5" t="inlineStr">
        <is>
          <t>Principal</t>
        </is>
      </c>
      <c r="D74" s="5" t="inlineStr">
        <is>
          <t>Phone + Computer</t>
        </is>
      </c>
      <c r="E74" s="5" t="inlineStr">
        <is>
          <t>Dashboard (bottom)</t>
        </is>
      </c>
      <c r="F74" s="5" t="inlineStr">
        <is>
          <t>Scroll down.</t>
        </is>
      </c>
      <c r="G74" s="5" t="inlineStr"/>
      <c r="H74" s="5" t="inlineStr">
        <is>
          <t>"Birthdays today: Ishaan Jagtap (Std 2 A)". Also "Attendance in the last 2 weeks" bars and "Syllabus progress" per class.</t>
        </is>
      </c>
      <c r="I74" s="5" t="inlineStr">
        <is>
          <t>Medium</t>
        </is>
      </c>
      <c r="J74" s="5" t="inlineStr">
        <is>
          <t>Not run</t>
        </is>
      </c>
      <c r="K74" s="5" t="inlineStr"/>
      <c r="L74" s="5" t="inlineStr"/>
      <c r="M74" s="5" t="inlineStr"/>
    </row>
    <row r="75">
      <c r="A75" s="5" t="inlineStr">
        <is>
          <t>PR-06</t>
        </is>
      </c>
      <c r="B75" s="5" t="inlineStr">
        <is>
          <t>Principal – Dashboard</t>
        </is>
      </c>
      <c r="C75" s="5" t="inlineStr">
        <is>
          <t>Principal</t>
        </is>
      </c>
      <c r="D75" s="5" t="inlineStr">
        <is>
          <t>Phone + Computer</t>
        </is>
      </c>
      <c r="E75" s="5" t="inlineStr">
        <is>
          <t>Dashboard</t>
        </is>
      </c>
      <c r="F75" s="5" t="inlineStr">
        <is>
          <t>Look for the health box.</t>
        </is>
      </c>
      <c r="G75" s="5" t="inlineStr"/>
      <c r="H75" s="5" t="inlineStr">
        <is>
          <t>"… children need to see a doctor again (from the last health camp)".</t>
        </is>
      </c>
      <c r="I75" s="5" t="inlineStr">
        <is>
          <t>Low</t>
        </is>
      </c>
      <c r="J75" s="5" t="inlineStr">
        <is>
          <t>Not run</t>
        </is>
      </c>
      <c r="K75" s="5" t="inlineStr"/>
      <c r="L75" s="5" t="inlineStr"/>
      <c r="M75" s="5" t="inlineStr"/>
    </row>
    <row r="76">
      <c r="A76" s="5" t="inlineStr">
        <is>
          <t>PR-07</t>
        </is>
      </c>
      <c r="B76" s="5" t="inlineStr">
        <is>
          <t>Principal – Attendance</t>
        </is>
      </c>
      <c r="C76" s="5" t="inlineStr">
        <is>
          <t>Principal</t>
        </is>
      </c>
      <c r="D76" s="5" t="inlineStr">
        <is>
          <t>Phone + Computer</t>
        </is>
      </c>
      <c r="E76" s="5" t="inlineStr">
        <is>
          <t>Attendance</t>
        </is>
      </c>
      <c r="F76" s="5" t="inlineStr">
        <is>
          <t>Open Attendance. Tap a class that is done. Change one mark and save.</t>
        </is>
      </c>
      <c r="G76" s="5" t="inlineStr"/>
      <c r="H76" s="5" t="inlineStr">
        <is>
          <t>Classes show "x present · y absent" or "Not done". The principal can change and save.</t>
        </is>
      </c>
      <c r="I76" s="5" t="inlineStr">
        <is>
          <t>High</t>
        </is>
      </c>
      <c r="J76" s="5" t="inlineStr">
        <is>
          <t>Not run</t>
        </is>
      </c>
      <c r="K76" s="5" t="inlineStr"/>
      <c r="L76" s="5" t="inlineStr"/>
      <c r="M76" s="5" t="inlineStr"/>
    </row>
    <row r="77">
      <c r="A77" s="5" t="inlineStr">
        <is>
          <t>PR-08</t>
        </is>
      </c>
      <c r="B77" s="5" t="inlineStr">
        <is>
          <t>Principal – Attendance</t>
        </is>
      </c>
      <c r="C77" s="5" t="inlineStr">
        <is>
          <t>Principal</t>
        </is>
      </c>
      <c r="D77" s="5" t="inlineStr">
        <is>
          <t>Phone + Computer</t>
        </is>
      </c>
      <c r="E77" s="5" t="inlineStr">
        <is>
          <t>Attendance → class → Date</t>
        </is>
      </c>
      <c r="F77" s="5" t="inlineStr">
        <is>
          <t>Pick a date 10 days ago and change one mark. Save.</t>
        </is>
      </c>
      <c r="G77" s="5" t="inlineStr">
        <is>
          <t>10 days ago</t>
        </is>
      </c>
      <c r="H77" s="5" t="inlineStr">
        <is>
          <t>Saved (the principal may correct old days; a teacher may not).</t>
        </is>
      </c>
      <c r="I77" s="5" t="inlineStr">
        <is>
          <t>Medium</t>
        </is>
      </c>
      <c r="J77" s="5" t="inlineStr">
        <is>
          <t>Not run</t>
        </is>
      </c>
      <c r="K77" s="5" t="inlineStr"/>
      <c r="L77" s="5" t="inlineStr"/>
      <c r="M77" s="5" t="inlineStr"/>
    </row>
    <row r="78">
      <c r="A78" s="5" t="inlineStr">
        <is>
          <t>PR-09</t>
        </is>
      </c>
      <c r="B78" s="5" t="inlineStr">
        <is>
          <t>Principal – Staff</t>
        </is>
      </c>
      <c r="C78" s="5" t="inlineStr">
        <is>
          <t>Principal</t>
        </is>
      </c>
      <c r="D78" s="5" t="inlineStr">
        <is>
          <t>Computer</t>
        </is>
      </c>
      <c r="E78" s="5" t="inlineStr">
        <is>
          <t>More → Teachers &amp; staff → Add teacher or staff</t>
        </is>
      </c>
      <c r="F78" s="5" t="inlineStr">
        <is>
          <t>Add a new teacher.</t>
        </is>
      </c>
      <c r="G78" s="5" t="inlineStr">
        <is>
          <t>Name: QA Teacher Two; Mobile 9820000099; Role Teacher</t>
        </is>
      </c>
      <c r="H78" s="5" t="inlineStr">
        <is>
          <t>Box "Login details" with a temporary password. "Copy message for WhatsApp" → "Copied…". The teacher is in the Active list.</t>
        </is>
      </c>
      <c r="I78" s="5" t="inlineStr">
        <is>
          <t>High</t>
        </is>
      </c>
      <c r="J78" s="5" t="inlineStr">
        <is>
          <t>Not run</t>
        </is>
      </c>
      <c r="K78" s="5" t="inlineStr"/>
      <c r="L78" s="5" t="inlineStr"/>
      <c r="M78" s="5" t="inlineStr"/>
    </row>
    <row r="79">
      <c r="A79" s="5" t="inlineStr">
        <is>
          <t>PR-10</t>
        </is>
      </c>
      <c r="B79" s="5" t="inlineStr">
        <is>
          <t>Principal – Staff</t>
        </is>
      </c>
      <c r="C79" s="5" t="inlineStr">
        <is>
          <t>Principal</t>
        </is>
      </c>
      <c r="D79" s="5" t="inlineStr">
        <is>
          <t>Computer</t>
        </is>
      </c>
      <c r="E79" s="5" t="inlineStr">
        <is>
          <t>Teachers &amp; staff → Add</t>
        </is>
      </c>
      <c r="F79" s="5" t="inlineStr">
        <is>
          <t>Try to add someone with a mobile number already used.</t>
        </is>
      </c>
      <c r="G79" s="5" t="inlineStr">
        <is>
          <t>Mobile 9820000004</t>
        </is>
      </c>
      <c r="H79" s="5" t="inlineStr">
        <is>
          <t>Not added: message "This already exists" (or "Already used" under the box).</t>
        </is>
      </c>
      <c r="I79" s="5" t="inlineStr">
        <is>
          <t>Medium</t>
        </is>
      </c>
      <c r="J79" s="5" t="inlineStr">
        <is>
          <t>Not run</t>
        </is>
      </c>
      <c r="K79" s="5" t="inlineStr"/>
      <c r="L79" s="5" t="inlineStr"/>
      <c r="M79" s="5" t="inlineStr"/>
    </row>
    <row r="80">
      <c r="A80" s="5" t="inlineStr">
        <is>
          <t>PR-11</t>
        </is>
      </c>
      <c r="B80" s="5" t="inlineStr">
        <is>
          <t>Principal – Staff</t>
        </is>
      </c>
      <c r="C80" s="5" t="inlineStr">
        <is>
          <t>Principal</t>
        </is>
      </c>
      <c r="D80" s="5" t="inlineStr">
        <is>
          <t>Computer</t>
        </is>
      </c>
      <c r="E80" s="5" t="inlineStr">
        <is>
          <t>Teachers &amp; staff → Neha Joshi → Classes</t>
        </is>
      </c>
      <c r="F80" s="5" t="inlineStr">
        <is>
          <t>Open Neha Joshi, tab "Classes". Add: Std 2 A, Subject teacher, subject English. Then log in as Neha.</t>
        </is>
      </c>
      <c r="G80" s="5" t="inlineStr">
        <is>
          <t>newteacher@demo.test / NehaQa@2026</t>
        </is>
      </c>
      <c r="H80" s="5" t="inlineStr">
        <is>
          <t>The class shows in her list. Neha's Today page now shows "English · Std 2 A" under My subjects.</t>
        </is>
      </c>
      <c r="I80" s="5" t="inlineStr">
        <is>
          <t>High</t>
        </is>
      </c>
      <c r="J80" s="5" t="inlineStr">
        <is>
          <t>Not run</t>
        </is>
      </c>
      <c r="K80" s="5" t="inlineStr"/>
      <c r="L80" s="5" t="inlineStr"/>
      <c r="M80" s="5" t="inlineStr"/>
    </row>
    <row r="81">
      <c r="A81" s="5" t="inlineStr">
        <is>
          <t>PR-12</t>
        </is>
      </c>
      <c r="B81" s="5" t="inlineStr">
        <is>
          <t>Principal – Staff</t>
        </is>
      </c>
      <c r="C81" s="5" t="inlineStr">
        <is>
          <t>Principal</t>
        </is>
      </c>
      <c r="D81" s="5" t="inlineStr">
        <is>
          <t>Computer</t>
        </is>
      </c>
      <c r="E81" s="5" t="inlineStr">
        <is>
          <t>Neha Joshi → Reset password</t>
        </is>
      </c>
      <c r="F81" s="5" t="inlineStr">
        <is>
          <t>Tap "Reset password" and confirm. Log in as Neha with the new temporary password.</t>
        </is>
      </c>
      <c r="G81" s="5" t="inlineStr"/>
      <c r="H81" s="5" t="inlineStr">
        <is>
          <t>A new temporary password is shown once. Neha's old password stops working; with the new one she must choose her own password again.</t>
        </is>
      </c>
      <c r="I81" s="5" t="inlineStr">
        <is>
          <t>High</t>
        </is>
      </c>
      <c r="J81" s="5" t="inlineStr">
        <is>
          <t>Not run</t>
        </is>
      </c>
      <c r="K81" s="5" t="inlineStr"/>
      <c r="L81" s="5" t="inlineStr"/>
      <c r="M81" s="5" t="inlineStr"/>
    </row>
    <row r="82">
      <c r="A82" s="5" t="inlineStr">
        <is>
          <t>PR-13</t>
        </is>
      </c>
      <c r="B82" s="5" t="inlineStr">
        <is>
          <t>Principal – Staff</t>
        </is>
      </c>
      <c r="C82" s="5" t="inlineStr">
        <is>
          <t>Principal</t>
        </is>
      </c>
      <c r="D82" s="5" t="inlineStr">
        <is>
          <t>Computer</t>
        </is>
      </c>
      <c r="E82" s="5" t="inlineStr">
        <is>
          <t>QA Teacher Two → Make inactive</t>
        </is>
      </c>
      <c r="F82" s="5" t="inlineStr">
        <is>
          <t>Tap "Make inactive" and confirm. Try to log in as that teacher. Then "Make active again".</t>
        </is>
      </c>
      <c r="G82" s="5" t="inlineStr"/>
      <c r="H82" s="5" t="inlineStr">
        <is>
          <t>Teacher moves to the "Inactive" tab and cannot log in ("This account is inactive…"). After "Make active again" login works.</t>
        </is>
      </c>
      <c r="I82" s="5" t="inlineStr">
        <is>
          <t>Medium</t>
        </is>
      </c>
      <c r="J82" s="5" t="inlineStr">
        <is>
          <t>Not run</t>
        </is>
      </c>
      <c r="K82" s="5" t="inlineStr"/>
      <c r="L82" s="5" t="inlineStr"/>
      <c r="M82" s="5" t="inlineStr"/>
    </row>
    <row r="83">
      <c r="A83" s="5" t="inlineStr">
        <is>
          <t>PR-14</t>
        </is>
      </c>
      <c r="B83" s="5" t="inlineStr">
        <is>
          <t>Principal – Classes</t>
        </is>
      </c>
      <c r="C83" s="5" t="inlineStr">
        <is>
          <t>Principal</t>
        </is>
      </c>
      <c r="D83" s="5" t="inlineStr">
        <is>
          <t>Computer</t>
        </is>
      </c>
      <c r="E83" s="5" t="inlineStr">
        <is>
          <t>More → Classes &amp; subjects</t>
        </is>
      </c>
      <c r="F83" s="5" t="inlineStr">
        <is>
          <t>In Std 4 A type "Computer" in "New subject" and tap Add. Then remove it (x) and confirm.</t>
        </is>
      </c>
      <c r="G83" s="5" t="inlineStr">
        <is>
          <t>Computer</t>
        </is>
      </c>
      <c r="H83" s="5" t="inlineStr">
        <is>
          <t>The subject appears as a chip and then is removed.</t>
        </is>
      </c>
      <c r="I83" s="5" t="inlineStr">
        <is>
          <t>Medium</t>
        </is>
      </c>
      <c r="J83" s="5" t="inlineStr">
        <is>
          <t>Not run</t>
        </is>
      </c>
      <c r="K83" s="5" t="inlineStr"/>
      <c r="L83" s="5" t="inlineStr"/>
      <c r="M83" s="5" t="inlineStr"/>
    </row>
    <row r="84">
      <c r="A84" s="5" t="inlineStr">
        <is>
          <t>PR-15</t>
        </is>
      </c>
      <c r="B84" s="5" t="inlineStr">
        <is>
          <t>Principal – Classes</t>
        </is>
      </c>
      <c r="C84" s="5" t="inlineStr">
        <is>
          <t>Principal</t>
        </is>
      </c>
      <c r="D84" s="5" t="inlineStr">
        <is>
          <t>Computer</t>
        </is>
      </c>
      <c r="E84" s="5" t="inlineStr">
        <is>
          <t>Classes &amp; subjects → Class levels</t>
        </is>
      </c>
      <c r="F84" s="5" t="inlineStr">
        <is>
          <t>Open "Class levels".</t>
        </is>
      </c>
      <c r="G84" s="5" t="inlineStr"/>
      <c r="H84" s="5" t="inlineStr">
        <is>
          <t>Levels Balwadi to Std 7 with their "Next class level"; Std 7 is "Last class of the school".</t>
        </is>
      </c>
      <c r="I84" s="5" t="inlineStr">
        <is>
          <t>Low</t>
        </is>
      </c>
      <c r="J84" s="5" t="inlineStr">
        <is>
          <t>Not run</t>
        </is>
      </c>
      <c r="K84" s="5" t="inlineStr"/>
      <c r="L84" s="5" t="inlineStr"/>
      <c r="M84" s="5" t="inlineStr"/>
    </row>
    <row r="85">
      <c r="A85" s="5" t="inlineStr">
        <is>
          <t>PR-16</t>
        </is>
      </c>
      <c r="B85" s="5" t="inlineStr">
        <is>
          <t>Principal – Classes</t>
        </is>
      </c>
      <c r="C85" s="5" t="inlineStr">
        <is>
          <t>Principal</t>
        </is>
      </c>
      <c r="D85" s="5" t="inlineStr">
        <is>
          <t>Computer</t>
        </is>
      </c>
      <c r="E85" s="5" t="inlineStr">
        <is>
          <t>Classes &amp; subjects → Activities</t>
        </is>
      </c>
      <c r="F85" s="5" t="inlineStr">
        <is>
          <t>Add a new activity. Open its members, tick 2 children and save.</t>
        </is>
      </c>
      <c r="G85" s="5" t="inlineStr">
        <is>
          <t>Chess club; Kiran Thakur, Riya Kale</t>
        </is>
      </c>
      <c r="H85" s="5" t="inlineStr">
        <is>
          <t>The activity shows "2 members".</t>
        </is>
      </c>
      <c r="I85" s="5" t="inlineStr">
        <is>
          <t>Low</t>
        </is>
      </c>
      <c r="J85" s="5" t="inlineStr">
        <is>
          <t>Not run</t>
        </is>
      </c>
      <c r="K85" s="5" t="inlineStr"/>
      <c r="L85" s="5" t="inlineStr"/>
      <c r="M85" s="5" t="inlineStr"/>
    </row>
    <row r="86">
      <c r="A86" s="5" t="inlineStr">
        <is>
          <t>PR-17</t>
        </is>
      </c>
      <c r="B86" s="5" t="inlineStr">
        <is>
          <t>Principal – Syllabus</t>
        </is>
      </c>
      <c r="C86" s="5" t="inlineStr">
        <is>
          <t>Principal</t>
        </is>
      </c>
      <c r="D86" s="5" t="inlineStr">
        <is>
          <t>Computer</t>
        </is>
      </c>
      <c r="E86" s="5" t="inlineStr">
        <is>
          <t>Syllabus → a subject → Edit chapters</t>
        </is>
      </c>
      <c r="F86" s="5" t="inlineStr">
        <is>
          <t>Add a chapter, paste 3 topics (one per line), tap "Add these topics". Remove one new topic. Try to remove a topic that is already taught.</t>
        </is>
      </c>
      <c r="G86" s="5" t="inlineStr">
        <is>
          <t>QA Chapter; Topic A / Topic B / Topic C</t>
        </is>
      </c>
      <c r="H86" s="5" t="inlineStr">
        <is>
          <t>Chapter with 3 topics appears; removing a new topic works; a taught topic cannot be removed ("Already taught, so it cannot be removed").</t>
        </is>
      </c>
      <c r="I86" s="5" t="inlineStr">
        <is>
          <t>Medium</t>
        </is>
      </c>
      <c r="J86" s="5" t="inlineStr">
        <is>
          <t>Not run</t>
        </is>
      </c>
      <c r="K86" s="5" t="inlineStr"/>
      <c r="L86" s="5" t="inlineStr"/>
      <c r="M86" s="5" t="inlineStr"/>
    </row>
    <row r="87">
      <c r="A87" s="5" t="inlineStr">
        <is>
          <t>PR-18</t>
        </is>
      </c>
      <c r="B87" s="5" t="inlineStr">
        <is>
          <t>Principal – Holidays</t>
        </is>
      </c>
      <c r="C87" s="5" t="inlineStr">
        <is>
          <t>Principal</t>
        </is>
      </c>
      <c r="D87" s="5" t="inlineStr">
        <is>
          <t>Computer</t>
        </is>
      </c>
      <c r="E87" s="5" t="inlineStr">
        <is>
          <t>More → Holidays</t>
        </is>
      </c>
      <c r="F87" s="5" t="inlineStr">
        <is>
          <t>Add a holiday for a date next week. Then delete it.</t>
        </is>
      </c>
      <c r="G87" s="5" t="inlineStr">
        <is>
          <t>QA Holiday, next week, type Holiday</t>
        </is>
      </c>
      <c r="H87" s="5" t="inlineStr">
        <is>
          <t>Holiday shows in the list, then is removed. (Do NOT add a holiday for today.)</t>
        </is>
      </c>
      <c r="I87" s="5" t="inlineStr">
        <is>
          <t>Medium</t>
        </is>
      </c>
      <c r="J87" s="5" t="inlineStr">
        <is>
          <t>Not run</t>
        </is>
      </c>
      <c r="K87" s="5" t="inlineStr"/>
      <c r="L87" s="5" t="inlineStr"/>
      <c r="M87" s="5" t="inlineStr"/>
    </row>
    <row r="88">
      <c r="A88" s="5" t="inlineStr">
        <is>
          <t>PR-19</t>
        </is>
      </c>
      <c r="B88" s="5" t="inlineStr">
        <is>
          <t>Principal – Years</t>
        </is>
      </c>
      <c r="C88" s="5" t="inlineStr">
        <is>
          <t>Principal</t>
        </is>
      </c>
      <c r="D88" s="5" t="inlineStr">
        <is>
          <t>Computer</t>
        </is>
      </c>
      <c r="E88" s="5" t="inlineStr">
        <is>
          <t>More → Academic years</t>
        </is>
      </c>
      <c r="F88" s="5" t="inlineStr">
        <is>
          <t>Look at the list.</t>
        </is>
      </c>
      <c r="G88" s="5" t="inlineStr"/>
      <c r="H88" s="5" t="inlineStr">
        <is>
          <t>2026-27 "Current", older years "Closed", each with dates, classes and number of students (not 0).</t>
        </is>
      </c>
      <c r="I88" s="5" t="inlineStr">
        <is>
          <t>Medium</t>
        </is>
      </c>
      <c r="J88" s="5" t="inlineStr">
        <is>
          <t>Not run</t>
        </is>
      </c>
      <c r="K88" s="5" t="inlineStr"/>
      <c r="L88" s="5" t="inlineStr"/>
      <c r="M88" s="5" t="inlineStr"/>
    </row>
    <row r="89">
      <c r="A89" s="5" t="inlineStr">
        <is>
          <t>PR-20</t>
        </is>
      </c>
      <c r="B89" s="5" t="inlineStr">
        <is>
          <t>Principal – Years</t>
        </is>
      </c>
      <c r="C89" s="5" t="inlineStr">
        <is>
          <t>Principal</t>
        </is>
      </c>
      <c r="D89" s="5" t="inlineStr">
        <is>
          <t>Computer</t>
        </is>
      </c>
      <c r="E89" s="5" t="inlineStr">
        <is>
          <t>Academic years → Start new academic year</t>
        </is>
      </c>
      <c r="F89" s="5" t="inlineStr">
        <is>
          <t>Go through all 5 steps for 2027-28. On the last step keep "Make it current now" OFF. Tap "Create the new year".</t>
        </is>
      </c>
      <c r="G89" s="5" t="inlineStr">
        <is>
          <t>2027-28</t>
        </is>
      </c>
      <c r="H89" s="5" t="inlineStr">
        <is>
          <t>"2027-28 is ready" with counts. The list shows 2027-28 as "Planned". IMPORTANT: do NOT make it current.</t>
        </is>
      </c>
      <c r="I89" s="5" t="inlineStr">
        <is>
          <t>High</t>
        </is>
      </c>
      <c r="J89" s="5" t="inlineStr">
        <is>
          <t>Not run</t>
        </is>
      </c>
      <c r="K89" s="5" t="inlineStr"/>
      <c r="L89" s="5" t="inlineStr"/>
      <c r="M89" s="5" t="inlineStr"/>
    </row>
    <row r="90">
      <c r="A90" s="5" t="inlineStr">
        <is>
          <t>PR-21</t>
        </is>
      </c>
      <c r="B90" s="5" t="inlineStr">
        <is>
          <t>Principal – Years</t>
        </is>
      </c>
      <c r="C90" s="5" t="inlineStr">
        <is>
          <t>Principal</t>
        </is>
      </c>
      <c r="D90" s="5" t="inlineStr">
        <is>
          <t>Computer</t>
        </is>
      </c>
      <c r="E90" s="5" t="inlineStr">
        <is>
          <t>Academic years → (closed year) → Unlock for corrections</t>
        </is>
      </c>
      <c r="F90" s="5" t="inlineStr">
        <is>
          <t>Unlock the last closed year for 10 minutes with a reason.</t>
        </is>
      </c>
      <c r="G90" s="5" t="inlineStr">
        <is>
          <t>10 minutes; reason: QA test</t>
        </is>
      </c>
      <c r="H90" s="5" t="inlineStr">
        <is>
          <t>"Unlocked until (time)". The activity log shows "Unlocked a year".</t>
        </is>
      </c>
      <c r="I90" s="5" t="inlineStr">
        <is>
          <t>Low</t>
        </is>
      </c>
      <c r="J90" s="5" t="inlineStr">
        <is>
          <t>Not run</t>
        </is>
      </c>
      <c r="K90" s="5" t="inlineStr"/>
      <c r="L90" s="5" t="inlineStr"/>
      <c r="M90" s="5" t="inlineStr"/>
    </row>
    <row r="91">
      <c r="A91" s="5" t="inlineStr">
        <is>
          <t>PR-22</t>
        </is>
      </c>
      <c r="B91" s="5" t="inlineStr">
        <is>
          <t>Principal – School</t>
        </is>
      </c>
      <c r="C91" s="5" t="inlineStr">
        <is>
          <t>Principal</t>
        </is>
      </c>
      <c r="D91" s="5" t="inlineStr">
        <is>
          <t>Computer</t>
        </is>
      </c>
      <c r="E91" s="5" t="inlineStr">
        <is>
          <t>More → School settings → This school</t>
        </is>
      </c>
      <c r="F91" s="5" t="inlineStr">
        <is>
          <t>Change the phone number and save. Tap "Upload school logo" and choose the logo.</t>
        </is>
      </c>
      <c r="G91" s="5" t="inlineStr">
        <is>
          <t>Phone 022 2500 0099; test-files/school-logo.png</t>
        </is>
      </c>
      <c r="H91" s="5" t="inlineStr">
        <is>
          <t>"Saved". The new logo appears at the top left of the app.</t>
        </is>
      </c>
      <c r="I91" s="5" t="inlineStr">
        <is>
          <t>Medium</t>
        </is>
      </c>
      <c r="J91" s="5" t="inlineStr">
        <is>
          <t>Not run</t>
        </is>
      </c>
      <c r="K91" s="5" t="inlineStr"/>
      <c r="L91" s="5" t="inlineStr"/>
      <c r="M91" s="5" t="inlineStr"/>
    </row>
    <row r="92">
      <c r="A92" s="5" t="inlineStr">
        <is>
          <t>PR-23</t>
        </is>
      </c>
      <c r="B92" s="5" t="inlineStr">
        <is>
          <t>Principal – School</t>
        </is>
      </c>
      <c r="C92" s="5" t="inlineStr">
        <is>
          <t>Principal</t>
        </is>
      </c>
      <c r="D92" s="5" t="inlineStr">
        <is>
          <t>Computer</t>
        </is>
      </c>
      <c r="E92" s="5" t="inlineStr">
        <is>
          <t>School settings → This school</t>
        </is>
      </c>
      <c r="F92" s="5" t="inlineStr">
        <is>
          <t>Look at "Register number prefix" and "Days teachers can change old attendance".</t>
        </is>
      </c>
      <c r="G92" s="5" t="inlineStr"/>
      <c r="H92" s="5" t="inlineStr">
        <is>
          <t>Help text shows the next register number (e.g. "Next register number will be SS-…"). Do not change weekly holidays.</t>
        </is>
      </c>
      <c r="I92" s="5" t="inlineStr">
        <is>
          <t>Low</t>
        </is>
      </c>
      <c r="J92" s="5" t="inlineStr">
        <is>
          <t>Not run</t>
        </is>
      </c>
      <c r="K92" s="5" t="inlineStr"/>
      <c r="L92" s="5" t="inlineStr"/>
      <c r="M92" s="5" t="inlineStr"/>
    </row>
    <row r="93">
      <c r="A93" s="5" t="inlineStr">
        <is>
          <t>PR-24</t>
        </is>
      </c>
      <c r="B93" s="5" t="inlineStr">
        <is>
          <t>Principal – Activity log</t>
        </is>
      </c>
      <c r="C93" s="5" t="inlineStr">
        <is>
          <t>Principal</t>
        </is>
      </c>
      <c r="D93" s="5" t="inlineStr">
        <is>
          <t>Computer</t>
        </is>
      </c>
      <c r="E93" s="5" t="inlineStr">
        <is>
          <t>More → Activity log</t>
        </is>
      </c>
      <c r="F93" s="5" t="inlineStr">
        <is>
          <t>Filter Person = Sunita Patil, then Kind of change = Attendance. Use "Older" / "Newer".</t>
        </is>
      </c>
      <c r="G93" s="5" t="inlineStr"/>
      <c r="H93" s="5" t="inlineStr">
        <is>
          <t>Shows who changed what and when, e.g. "Sunita Patil · Saved attendance · Std 1 A". Filters and pages work.</t>
        </is>
      </c>
      <c r="I93" s="5" t="inlineStr">
        <is>
          <t>Medium</t>
        </is>
      </c>
      <c r="J93" s="5" t="inlineStr">
        <is>
          <t>Not run</t>
        </is>
      </c>
      <c r="K93" s="5" t="inlineStr"/>
      <c r="L93" s="5" t="inlineStr"/>
      <c r="M93" s="5" t="inlineStr"/>
    </row>
    <row r="94">
      <c r="A94" s="5" t="inlineStr">
        <is>
          <t>PR-25</t>
        </is>
      </c>
      <c r="B94" s="5" t="inlineStr">
        <is>
          <t>Principal – Phone</t>
        </is>
      </c>
      <c r="C94" s="5" t="inlineStr">
        <is>
          <t>Principal</t>
        </is>
      </c>
      <c r="D94" s="5" t="inlineStr">
        <is>
          <t>Phone</t>
        </is>
      </c>
      <c r="E94" s="5" t="inlineStr">
        <is>
          <t>All pages on a phone</t>
        </is>
      </c>
      <c r="F94" s="5" t="inlineStr">
        <is>
          <t>On a phone, open every page from the bottom bar and "More".</t>
        </is>
      </c>
      <c r="G94" s="5" t="inlineStr"/>
      <c r="H94" s="5" t="inlineStr">
        <is>
          <t>Every page fits the screen (no sideways scroll), all buttons can be tapped, nothing is hidden behind the bottom bar.</t>
        </is>
      </c>
      <c r="I94" s="5" t="inlineStr">
        <is>
          <t>High</t>
        </is>
      </c>
      <c r="J94" s="5" t="inlineStr">
        <is>
          <t>Not run</t>
        </is>
      </c>
      <c r="K94" s="5" t="inlineStr"/>
      <c r="L94" s="5" t="inlineStr"/>
      <c r="M94" s="5" t="inlineStr"/>
    </row>
    <row r="95">
      <c r="A95" s="5" t="inlineStr">
        <is>
          <t>OW-01</t>
        </is>
      </c>
      <c r="B95" s="5" t="inlineStr">
        <is>
          <t>Trust owner</t>
        </is>
      </c>
      <c r="C95" s="5" t="inlineStr">
        <is>
          <t>Trust owner</t>
        </is>
      </c>
      <c r="D95" s="5" t="inlineStr">
        <is>
          <t>Phone + Computer</t>
        </is>
      </c>
      <c r="E95" s="5" t="inlineStr">
        <is>
          <t>Me → School (or the school name)</t>
        </is>
      </c>
      <c r="F95" s="5" t="inlineStr">
        <is>
          <t>Switch to "Signal Shala, Nerul". Then switch back to Thane.</t>
        </is>
      </c>
      <c r="G95" s="5" t="inlineStr">
        <is>
          <t>owner@demo.test</t>
        </is>
      </c>
      <c r="H95" s="5" t="inlineStr">
        <is>
          <t>Nerul data is shown and the app colours change to the Marigold look; back in Thane the red Signal Shala look returns.</t>
        </is>
      </c>
      <c r="I95" s="5" t="inlineStr">
        <is>
          <t>High</t>
        </is>
      </c>
      <c r="J95" s="5" t="inlineStr">
        <is>
          <t>Not run</t>
        </is>
      </c>
      <c r="K95" s="5" t="inlineStr"/>
      <c r="L95" s="5" t="inlineStr"/>
      <c r="M95" s="5" t="inlineStr"/>
    </row>
    <row r="96">
      <c r="A96" s="5" t="inlineStr">
        <is>
          <t>OW-02</t>
        </is>
      </c>
      <c r="B96" s="5" t="inlineStr">
        <is>
          <t>Trust owner</t>
        </is>
      </c>
      <c r="C96" s="5" t="inlineStr">
        <is>
          <t>Trust owner</t>
        </is>
      </c>
      <c r="D96" s="5" t="inlineStr">
        <is>
          <t>Computer</t>
        </is>
      </c>
      <c r="E96" s="5" t="inlineStr">
        <is>
          <t>School settings → All schools</t>
        </is>
      </c>
      <c r="F96" s="5" t="inlineStr">
        <is>
          <t>Look at the table. Add a school.</t>
        </is>
      </c>
      <c r="G96" s="5" t="inlineStr">
        <is>
          <t>QA School, Kalyan</t>
        </is>
      </c>
      <c r="H96" s="5" t="inlineStr">
        <is>
          <t>Both schools with students, teachers and attendance. The new school is added to the table.</t>
        </is>
      </c>
      <c r="I96" s="5" t="inlineStr">
        <is>
          <t>Low</t>
        </is>
      </c>
      <c r="J96" s="5" t="inlineStr">
        <is>
          <t>Not run</t>
        </is>
      </c>
      <c r="K96" s="5" t="inlineStr"/>
      <c r="L96" s="5" t="inlineStr"/>
      <c r="M96" s="5" t="inlineStr"/>
    </row>
    <row r="97">
      <c r="A97" s="5" t="inlineStr">
        <is>
          <t>OW-03</t>
        </is>
      </c>
      <c r="B97" s="5" t="inlineStr">
        <is>
          <t>Trust owner – second school</t>
        </is>
      </c>
      <c r="C97" s="5" t="inlineStr">
        <is>
          <t>Teacher (2nd school)</t>
        </is>
      </c>
      <c r="D97" s="5" t="inlineStr">
        <is>
          <t>Phone</t>
        </is>
      </c>
      <c r="E97" s="5" t="inlineStr">
        <is>
          <t>Today</t>
        </is>
      </c>
      <c r="F97" s="5" t="inlineStr">
        <is>
          <t>Log in as Imran.</t>
        </is>
      </c>
      <c r="G97" s="5" t="inlineStr">
        <is>
          <t>imran@demo.test</t>
        </is>
      </c>
      <c r="H97" s="5" t="inlineStr">
        <is>
          <t>Only Signal Shala, Nerul is shown, in the Marigold look. Thane children are not visible.</t>
        </is>
      </c>
      <c r="I97" s="5" t="inlineStr">
        <is>
          <t>Medium</t>
        </is>
      </c>
      <c r="J97" s="5" t="inlineStr">
        <is>
          <t>Not run</t>
        </is>
      </c>
      <c r="K97" s="5" t="inlineStr"/>
      <c r="L97" s="5" t="inlineStr"/>
      <c r="M97" s="5" t="inlineStr"/>
    </row>
    <row r="98">
      <c r="A98" s="5" t="inlineStr">
        <is>
          <t>LK-01</t>
        </is>
      </c>
      <c r="B98" s="5" t="inlineStr">
        <is>
          <t>Looks</t>
        </is>
      </c>
      <c r="C98" s="5" t="inlineStr">
        <is>
          <t>Principal</t>
        </is>
      </c>
      <c r="D98" s="5" t="inlineStr">
        <is>
          <t>Phone + Computer</t>
        </is>
      </c>
      <c r="E98" s="5" t="inlineStr">
        <is>
          <t>More → School settings → Look</t>
        </is>
      </c>
      <c r="F98" s="5" t="inlineStr">
        <is>
          <t>Open the Look tab.</t>
        </is>
      </c>
      <c r="G98" s="5" t="inlineStr"/>
      <c r="H98" s="5" t="inlineStr">
        <is>
          <t>6 looks with a small preview each: Signal Shala (In use), Blackboard, Notebook, Marigold, Calm teal, Easy to read.</t>
        </is>
      </c>
      <c r="I98" s="5" t="inlineStr">
        <is>
          <t>High</t>
        </is>
      </c>
      <c r="J98" s="5" t="inlineStr">
        <is>
          <t>Not run</t>
        </is>
      </c>
      <c r="K98" s="5" t="inlineStr"/>
      <c r="L98" s="5" t="inlineStr"/>
      <c r="M98" s="5" t="inlineStr"/>
    </row>
    <row r="99">
      <c r="A99" s="5" t="inlineStr">
        <is>
          <t>LK-02</t>
        </is>
      </c>
      <c r="B99" s="5" t="inlineStr">
        <is>
          <t>Looks</t>
        </is>
      </c>
      <c r="C99" s="5" t="inlineStr">
        <is>
          <t>Principal</t>
        </is>
      </c>
      <c r="D99" s="5" t="inlineStr">
        <is>
          <t>Phone + Computer</t>
        </is>
      </c>
      <c r="E99" s="5" t="inlineStr">
        <is>
          <t>School settings → Look</t>
        </is>
      </c>
      <c r="F99" s="5" t="inlineStr">
        <is>
          <t>Tap "Blackboard". Look around. Tap "Cancel".</t>
        </is>
      </c>
      <c r="G99" s="5" t="inlineStr"/>
      <c r="H99" s="5" t="inlineStr">
        <is>
          <t>"You are trying “Blackboard”. Only you can see it." Colours, letters and icons change at once. Cancel returns to Signal Shala.</t>
        </is>
      </c>
      <c r="I99" s="5" t="inlineStr">
        <is>
          <t>High</t>
        </is>
      </c>
      <c r="J99" s="5" t="inlineStr">
        <is>
          <t>Not run</t>
        </is>
      </c>
      <c r="K99" s="5" t="inlineStr"/>
      <c r="L99" s="5" t="inlineStr"/>
      <c r="M99" s="5" t="inlineStr"/>
    </row>
    <row r="100">
      <c r="A100" s="5" t="inlineStr">
        <is>
          <t>LK-03</t>
        </is>
      </c>
      <c r="B100" s="5" t="inlineStr">
        <is>
          <t>Looks</t>
        </is>
      </c>
      <c r="C100" s="5" t="inlineStr">
        <is>
          <t>Principal + Teacher</t>
        </is>
      </c>
      <c r="D100" s="5" t="inlineStr">
        <is>
          <t>Phone + Computer</t>
        </is>
      </c>
      <c r="E100" s="5" t="inlineStr">
        <is>
          <t>School settings → Look</t>
        </is>
      </c>
      <c r="F100" s="5" t="inlineStr">
        <is>
          <t>Tap "Notebook", then "Use for the whole school". On another phone, log in (or reload) as Sunita.</t>
        </is>
      </c>
      <c r="G100" s="5" t="inlineStr">
        <is>
          <t>sunita@demo.test</t>
        </is>
      </c>
      <c r="H100" s="5" t="inlineStr">
        <is>
          <t>"Everyone in the school now sees “Notebook”". Sunita's app is in the Notebook look too.</t>
        </is>
      </c>
      <c r="I100" s="5" t="inlineStr">
        <is>
          <t>High</t>
        </is>
      </c>
      <c r="J100" s="5" t="inlineStr">
        <is>
          <t>Not run</t>
        </is>
      </c>
      <c r="K100" s="5" t="inlineStr"/>
      <c r="L100" s="5" t="inlineStr"/>
      <c r="M100" s="5" t="inlineStr"/>
    </row>
    <row r="101">
      <c r="A101" s="5" t="inlineStr">
        <is>
          <t>LK-04</t>
        </is>
      </c>
      <c r="B101" s="5" t="inlineStr">
        <is>
          <t>Looks</t>
        </is>
      </c>
      <c r="C101" s="5" t="inlineStr">
        <is>
          <t>Principal</t>
        </is>
      </c>
      <c r="D101" s="5" t="inlineStr">
        <is>
          <t>Phone + Computer</t>
        </is>
      </c>
      <c r="E101" s="5" t="inlineStr">
        <is>
          <t>Look: Signal Shala</t>
        </is>
      </c>
      <c r="F101" s="5" t="inlineStr">
        <is>
          <t>Use this look for the school. Open Today, Take attendance, Students, a student, Dashboard (as principal) on a phone.</t>
        </is>
      </c>
      <c r="G101" s="5" t="inlineStr"/>
      <c r="H101" s="5" t="inlineStr">
        <is>
          <t>Red/white look with the traffic-light stripe. All text readable, buttons clear, icons match, nothing overlaps.</t>
        </is>
      </c>
      <c r="I101" s="5" t="inlineStr">
        <is>
          <t>High</t>
        </is>
      </c>
      <c r="J101" s="5" t="inlineStr">
        <is>
          <t>Not run</t>
        </is>
      </c>
      <c r="K101" s="5" t="inlineStr"/>
      <c r="L101" s="5" t="inlineStr"/>
      <c r="M101" s="5" t="inlineStr"/>
    </row>
    <row r="102">
      <c r="A102" s="5" t="inlineStr">
        <is>
          <t>LK-05</t>
        </is>
      </c>
      <c r="B102" s="5" t="inlineStr">
        <is>
          <t>Looks</t>
        </is>
      </c>
      <c r="C102" s="5" t="inlineStr">
        <is>
          <t>Principal</t>
        </is>
      </c>
      <c r="D102" s="5" t="inlineStr">
        <is>
          <t>Phone + Computer</t>
        </is>
      </c>
      <c r="E102" s="5" t="inlineStr">
        <is>
          <t>Look: Blackboard</t>
        </is>
      </c>
      <c r="F102" s="5" t="inlineStr">
        <is>
          <t>Same pages as above.</t>
        </is>
      </c>
      <c r="G102" s="5" t="inlineStr"/>
      <c r="H102" s="5" t="inlineStr">
        <is>
          <t>Green-board look with chalk-yellow and handwritten headings. Everything readable, no overlap.</t>
        </is>
      </c>
      <c r="I102" s="5" t="inlineStr">
        <is>
          <t>Medium</t>
        </is>
      </c>
      <c r="J102" s="5" t="inlineStr">
        <is>
          <t>Not run</t>
        </is>
      </c>
      <c r="K102" s="5" t="inlineStr"/>
      <c r="L102" s="5" t="inlineStr"/>
      <c r="M102" s="5" t="inlineStr"/>
    </row>
    <row r="103">
      <c r="A103" s="5" t="inlineStr">
        <is>
          <t>LK-06</t>
        </is>
      </c>
      <c r="B103" s="5" t="inlineStr">
        <is>
          <t>Looks</t>
        </is>
      </c>
      <c r="C103" s="5" t="inlineStr">
        <is>
          <t>Principal</t>
        </is>
      </c>
      <c r="D103" s="5" t="inlineStr">
        <is>
          <t>Phone + Computer</t>
        </is>
      </c>
      <c r="E103" s="5" t="inlineStr">
        <is>
          <t>Look: Notebook</t>
        </is>
      </c>
      <c r="F103" s="5" t="inlineStr">
        <is>
          <t>Same pages as above.</t>
        </is>
      </c>
      <c r="G103" s="5" t="inlineStr"/>
      <c r="H103" s="5" t="inlineStr">
        <is>
          <t>Blue ink, ruled-page cards, sharp corners. Everything readable, no overlap.</t>
        </is>
      </c>
      <c r="I103" s="5" t="inlineStr">
        <is>
          <t>Medium</t>
        </is>
      </c>
      <c r="J103" s="5" t="inlineStr">
        <is>
          <t>Not run</t>
        </is>
      </c>
      <c r="K103" s="5" t="inlineStr"/>
      <c r="L103" s="5" t="inlineStr"/>
      <c r="M103" s="5" t="inlineStr"/>
    </row>
    <row r="104">
      <c r="A104" s="5" t="inlineStr">
        <is>
          <t>LK-07</t>
        </is>
      </c>
      <c r="B104" s="5" t="inlineStr">
        <is>
          <t>Looks</t>
        </is>
      </c>
      <c r="C104" s="5" t="inlineStr">
        <is>
          <t>Principal</t>
        </is>
      </c>
      <c r="D104" s="5" t="inlineStr">
        <is>
          <t>Phone + Computer</t>
        </is>
      </c>
      <c r="E104" s="5" t="inlineStr">
        <is>
          <t>Look: Marigold</t>
        </is>
      </c>
      <c r="F104" s="5" t="inlineStr">
        <is>
          <t>Same pages as above.</t>
        </is>
      </c>
      <c r="G104" s="5" t="inlineStr"/>
      <c r="H104" s="5" t="inlineStr">
        <is>
          <t>Saffron and maroon, soft round shapes. Everything readable, no overlap.</t>
        </is>
      </c>
      <c r="I104" s="5" t="inlineStr">
        <is>
          <t>Medium</t>
        </is>
      </c>
      <c r="J104" s="5" t="inlineStr">
        <is>
          <t>Not run</t>
        </is>
      </c>
      <c r="K104" s="5" t="inlineStr"/>
      <c r="L104" s="5" t="inlineStr"/>
      <c r="M104" s="5" t="inlineStr"/>
    </row>
    <row r="105">
      <c r="A105" s="5" t="inlineStr">
        <is>
          <t>LK-08</t>
        </is>
      </c>
      <c r="B105" s="5" t="inlineStr">
        <is>
          <t>Looks</t>
        </is>
      </c>
      <c r="C105" s="5" t="inlineStr">
        <is>
          <t>Principal</t>
        </is>
      </c>
      <c r="D105" s="5" t="inlineStr">
        <is>
          <t>Phone + Computer</t>
        </is>
      </c>
      <c r="E105" s="5" t="inlineStr">
        <is>
          <t>Look: Calm teal</t>
        </is>
      </c>
      <c r="F105" s="5" t="inlineStr">
        <is>
          <t>Same pages as above.</t>
        </is>
      </c>
      <c r="G105" s="5" t="inlineStr"/>
      <c r="H105" s="5" t="inlineStr">
        <is>
          <t>Teal and white, simple. Everything readable, no overlap.</t>
        </is>
      </c>
      <c r="I105" s="5" t="inlineStr">
        <is>
          <t>Medium</t>
        </is>
      </c>
      <c r="J105" s="5" t="inlineStr">
        <is>
          <t>Not run</t>
        </is>
      </c>
      <c r="K105" s="5" t="inlineStr"/>
      <c r="L105" s="5" t="inlineStr"/>
      <c r="M105" s="5" t="inlineStr"/>
    </row>
    <row r="106">
      <c r="A106" s="5" t="inlineStr">
        <is>
          <t>LK-09</t>
        </is>
      </c>
      <c r="B106" s="5" t="inlineStr">
        <is>
          <t>Looks</t>
        </is>
      </c>
      <c r="C106" s="5" t="inlineStr">
        <is>
          <t>Principal</t>
        </is>
      </c>
      <c r="D106" s="5" t="inlineStr">
        <is>
          <t>Phone + Computer</t>
        </is>
      </c>
      <c r="E106" s="5" t="inlineStr">
        <is>
          <t>Look: Easy to read</t>
        </is>
      </c>
      <c r="F106" s="5" t="inlineStr">
        <is>
          <t>Same pages as above, also outside in sunlight if possible.</t>
        </is>
      </c>
      <c r="G106" s="5" t="inlineStr"/>
      <c r="H106" s="5" t="inlineStr">
        <is>
          <t>Black on white, thick borders, bigger letters. Very easy to read.</t>
        </is>
      </c>
      <c r="I106" s="5" t="inlineStr">
        <is>
          <t>Medium</t>
        </is>
      </c>
      <c r="J106" s="5" t="inlineStr">
        <is>
          <t>Not run</t>
        </is>
      </c>
      <c r="K106" s="5" t="inlineStr"/>
      <c r="L106" s="5" t="inlineStr"/>
      <c r="M106" s="5" t="inlineStr"/>
    </row>
    <row r="107">
      <c r="A107" s="5" t="inlineStr">
        <is>
          <t>LK-10</t>
        </is>
      </c>
      <c r="B107" s="5" t="inlineStr">
        <is>
          <t>Looks</t>
        </is>
      </c>
      <c r="C107" s="5" t="inlineStr">
        <is>
          <t>Teacher</t>
        </is>
      </c>
      <c r="D107" s="5" t="inlineStr">
        <is>
          <t>Phone</t>
        </is>
      </c>
      <c r="E107" s="5" t="inlineStr">
        <is>
          <t>More → Me</t>
        </is>
      </c>
      <c r="F107" s="5" t="inlineStr">
        <is>
          <t>As Sunita, look for a Look/theme setting.</t>
        </is>
      </c>
      <c r="G107" s="5" t="inlineStr"/>
      <c r="H107" s="5" t="inlineStr">
        <is>
          <t>Teachers cannot change the school look (no Look option).</t>
        </is>
      </c>
      <c r="I107" s="5" t="inlineStr">
        <is>
          <t>Medium</t>
        </is>
      </c>
      <c r="J107" s="5" t="inlineStr">
        <is>
          <t>Not run</t>
        </is>
      </c>
      <c r="K107" s="5" t="inlineStr"/>
      <c r="L107" s="5" t="inlineStr"/>
      <c r="M107" s="5" t="inlineStr"/>
    </row>
    <row r="108">
      <c r="A108" s="5" t="inlineStr">
        <is>
          <t>LK-11</t>
        </is>
      </c>
      <c r="B108" s="5" t="inlineStr">
        <is>
          <t>Looks</t>
        </is>
      </c>
      <c r="C108" s="5" t="inlineStr">
        <is>
          <t>Any</t>
        </is>
      </c>
      <c r="D108" s="5" t="inlineStr">
        <is>
          <t>Phone</t>
        </is>
      </c>
      <c r="E108" s="5" t="inlineStr">
        <is>
          <t>Phone in dark mode</t>
        </is>
      </c>
      <c r="F108" s="5" t="inlineStr">
        <is>
          <t>Turn on Dark mode in the phone settings. Open the app.</t>
        </is>
      </c>
      <c r="G108" s="5" t="inlineStr"/>
      <c r="H108" s="5" t="inlineStr">
        <is>
          <t>The app stays light (no dark mode in any look).</t>
        </is>
      </c>
      <c r="I108" s="5" t="inlineStr">
        <is>
          <t>Low</t>
        </is>
      </c>
      <c r="J108" s="5" t="inlineStr">
        <is>
          <t>Not run</t>
        </is>
      </c>
      <c r="K108" s="5" t="inlineStr"/>
      <c r="L108" s="5" t="inlineStr"/>
      <c r="M108" s="5" t="inlineStr"/>
    </row>
    <row r="109">
      <c r="A109" s="5" t="inlineStr">
        <is>
          <t>LK-12</t>
        </is>
      </c>
      <c r="B109" s="5" t="inlineStr">
        <is>
          <t>Looks</t>
        </is>
      </c>
      <c r="C109" s="5" t="inlineStr">
        <is>
          <t>Principal</t>
        </is>
      </c>
      <c r="D109" s="5" t="inlineStr">
        <is>
          <t>Phone + Computer</t>
        </is>
      </c>
      <c r="E109" s="5" t="inlineStr">
        <is>
          <t>School settings → Look</t>
        </is>
      </c>
      <c r="F109" s="5" t="inlineStr">
        <is>
          <t>At the end of testing: choose "Signal Shala" → "Use for the whole school".</t>
        </is>
      </c>
      <c r="G109" s="5" t="inlineStr"/>
      <c r="H109" s="5" t="inlineStr">
        <is>
          <t>The school is back on the Signal Shala look.</t>
        </is>
      </c>
      <c r="I109" s="5" t="inlineStr">
        <is>
          <t>High</t>
        </is>
      </c>
      <c r="J109" s="5" t="inlineStr">
        <is>
          <t>Not run</t>
        </is>
      </c>
      <c r="K109" s="5" t="inlineStr"/>
      <c r="L109" s="5" t="inlineStr"/>
      <c r="M109" s="5" t="inlineStr"/>
    </row>
    <row r="110">
      <c r="A110" s="5" t="inlineStr">
        <is>
          <t>GN-01</t>
        </is>
      </c>
      <c r="B110" s="5" t="inlineStr">
        <is>
          <t>General</t>
        </is>
      </c>
      <c r="C110" s="5" t="inlineStr">
        <is>
          <t>Any</t>
        </is>
      </c>
      <c r="D110" s="5" t="inlineStr">
        <is>
          <t>Phone</t>
        </is>
      </c>
      <c r="E110" s="5" t="inlineStr">
        <is>
          <t>Every page</t>
        </is>
      </c>
      <c r="F110" s="5" t="inlineStr">
        <is>
          <t>Use a small phone (or the smallest screen you have). Open each page.</t>
        </is>
      </c>
      <c r="G110" s="5" t="inlineStr"/>
      <c r="H110" s="5" t="inlineStr">
        <is>
          <t>No page scrolls sideways; text is not cut; buttons are big enough to tap with a thumb.</t>
        </is>
      </c>
      <c r="I110" s="5" t="inlineStr">
        <is>
          <t>High</t>
        </is>
      </c>
      <c r="J110" s="5" t="inlineStr">
        <is>
          <t>Not run</t>
        </is>
      </c>
      <c r="K110" s="5" t="inlineStr"/>
      <c r="L110" s="5" t="inlineStr"/>
      <c r="M110" s="5" t="inlineStr"/>
    </row>
    <row r="111">
      <c r="A111" s="5" t="inlineStr">
        <is>
          <t>GN-02</t>
        </is>
      </c>
      <c r="B111" s="5" t="inlineStr">
        <is>
          <t>General</t>
        </is>
      </c>
      <c r="C111" s="5" t="inlineStr">
        <is>
          <t>Any</t>
        </is>
      </c>
      <c r="D111" s="5" t="inlineStr">
        <is>
          <t>Phone</t>
        </is>
      </c>
      <c r="E111" s="5" t="inlineStr">
        <is>
          <t>Any page</t>
        </is>
      </c>
      <c r="F111" s="5" t="inlineStr">
        <is>
          <t>Turn the phone sideways (landscape) on Today and Take attendance.</t>
        </is>
      </c>
      <c r="G111" s="5" t="inlineStr"/>
      <c r="H111" s="5" t="inlineStr">
        <is>
          <t>Pages still work and look fine.</t>
        </is>
      </c>
      <c r="I111" s="5" t="inlineStr">
        <is>
          <t>Low</t>
        </is>
      </c>
      <c r="J111" s="5" t="inlineStr">
        <is>
          <t>Not run</t>
        </is>
      </c>
      <c r="K111" s="5" t="inlineStr"/>
      <c r="L111" s="5" t="inlineStr"/>
      <c r="M111" s="5" t="inlineStr"/>
    </row>
    <row r="112">
      <c r="A112" s="5" t="inlineStr">
        <is>
          <t>GN-03</t>
        </is>
      </c>
      <c r="B112" s="5" t="inlineStr">
        <is>
          <t>General</t>
        </is>
      </c>
      <c r="C112" s="5" t="inlineStr">
        <is>
          <t>Any</t>
        </is>
      </c>
      <c r="D112" s="5" t="inlineStr">
        <is>
          <t>Phone</t>
        </is>
      </c>
      <c r="E112" s="5" t="inlineStr">
        <is>
          <t>Chrome menu → Install app / Add to Home screen</t>
        </is>
      </c>
      <c r="F112" s="5" t="inlineStr">
        <is>
          <t>Install the app and open it from the home screen.</t>
        </is>
      </c>
      <c r="G112" s="5" t="inlineStr"/>
      <c r="H112" s="5" t="inlineStr">
        <is>
          <t>Opens like an app (no browser address bar), with the Signal School icon.</t>
        </is>
      </c>
      <c r="I112" s="5" t="inlineStr">
        <is>
          <t>Medium</t>
        </is>
      </c>
      <c r="J112" s="5" t="inlineStr">
        <is>
          <t>Not run</t>
        </is>
      </c>
      <c r="K112" s="5" t="inlineStr"/>
      <c r="L112" s="5" t="inlineStr"/>
      <c r="M112" s="5" t="inlineStr"/>
    </row>
    <row r="113">
      <c r="A113" s="5" t="inlineStr">
        <is>
          <t>GN-04</t>
        </is>
      </c>
      <c r="B113" s="5" t="inlineStr">
        <is>
          <t>General</t>
        </is>
      </c>
      <c r="C113" s="5" t="inlineStr">
        <is>
          <t>Any</t>
        </is>
      </c>
      <c r="D113" s="5" t="inlineStr">
        <is>
          <t>Phone</t>
        </is>
      </c>
      <c r="E113" s="5" t="inlineStr">
        <is>
          <t>? buttons</t>
        </is>
      </c>
      <c r="F113" s="5" t="inlineStr">
        <is>
          <t>Tap the "?" on Today, Students, Syllabus, Academic years.</t>
        </is>
      </c>
      <c r="G113" s="5" t="inlineStr"/>
      <c r="H113" s="5" t="inlineStr">
        <is>
          <t>A short help text in simple words appears.</t>
        </is>
      </c>
      <c r="I113" s="5" t="inlineStr">
        <is>
          <t>Low</t>
        </is>
      </c>
      <c r="J113" s="5" t="inlineStr">
        <is>
          <t>Not run</t>
        </is>
      </c>
      <c r="K113" s="5" t="inlineStr"/>
      <c r="L113" s="5" t="inlineStr"/>
      <c r="M113" s="5" t="inlineStr"/>
    </row>
    <row r="114">
      <c r="A114" s="5" t="inlineStr">
        <is>
          <t>GN-05</t>
        </is>
      </c>
      <c r="B114" s="5" t="inlineStr">
        <is>
          <t>General</t>
        </is>
      </c>
      <c r="C114" s="5" t="inlineStr">
        <is>
          <t>Any</t>
        </is>
      </c>
      <c r="D114" s="5" t="inlineStr">
        <is>
          <t>Phone</t>
        </is>
      </c>
      <c r="E114" s="5" t="inlineStr">
        <is>
          <t>Language check (मराठी / ગુજરાતી)</t>
        </is>
      </c>
      <c r="F114" s="5" t="inlineStr">
        <is>
          <t>Switch to मराठी and then ગુજરાતી. Open Today, Attendance, Students, a student, Me.</t>
        </is>
      </c>
      <c r="G114" s="5" t="inlineStr"/>
      <c r="H114" s="5" t="inlineStr">
        <is>
          <t>All words in that language and easy to read. Write in Comments any English words left or wrong spellings.</t>
        </is>
      </c>
      <c r="I114" s="5" t="inlineStr">
        <is>
          <t>Medium</t>
        </is>
      </c>
      <c r="J114" s="5" t="inlineStr">
        <is>
          <t>Not run</t>
        </is>
      </c>
      <c r="K114" s="5" t="inlineStr"/>
      <c r="L114" s="5" t="inlineStr"/>
      <c r="M114" s="5" t="inlineStr"/>
    </row>
    <row r="115">
      <c r="A115" s="5" t="inlineStr">
        <is>
          <t>GN-06</t>
        </is>
      </c>
      <c r="B115" s="5" t="inlineStr">
        <is>
          <t>General</t>
        </is>
      </c>
      <c r="C115" s="5" t="inlineStr">
        <is>
          <t>Any</t>
        </is>
      </c>
      <c r="D115" s="5" t="inlineStr">
        <is>
          <t>Phone + Computer</t>
        </is>
      </c>
      <c r="E115" s="5" t="inlineStr">
        <is>
          <t>Phone Back button / browser Back</t>
        </is>
      </c>
      <c r="F115" s="5" t="inlineStr">
        <is>
          <t>Move through several pages and press Back.</t>
        </is>
      </c>
      <c r="G115" s="5" t="inlineStr"/>
      <c r="H115" s="5" t="inlineStr">
        <is>
          <t>Back goes to the previous page every time (does not exit the app unexpectedly).</t>
        </is>
      </c>
      <c r="I115" s="5" t="inlineStr">
        <is>
          <t>Medium</t>
        </is>
      </c>
      <c r="J115" s="5" t="inlineStr">
        <is>
          <t>Not run</t>
        </is>
      </c>
      <c r="K115" s="5" t="inlineStr"/>
      <c r="L115" s="5" t="inlineStr"/>
      <c r="M115" s="5" t="inlineStr"/>
    </row>
    <row r="116">
      <c r="A116" s="5" t="inlineStr">
        <is>
          <t>GN-07</t>
        </is>
      </c>
      <c r="B116" s="5" t="inlineStr">
        <is>
          <t>General</t>
        </is>
      </c>
      <c r="C116" s="5" t="inlineStr">
        <is>
          <t>Any</t>
        </is>
      </c>
      <c r="D116" s="5" t="inlineStr">
        <is>
          <t>Computer</t>
        </is>
      </c>
      <c r="E116" s="5" t="inlineStr">
        <is>
          <t>Computer, big window</t>
        </is>
      </c>
      <c r="F116" s="5" t="inlineStr">
        <is>
          <t>Open on a computer. Make the window narrow, then wide.</t>
        </is>
      </c>
      <c r="G116" s="5" t="inlineStr"/>
      <c r="H116" s="5" t="inlineStr">
        <is>
          <t>Wide: side menu with groups "Every day", "School setup", "Other". Narrow: bottom bar like the phone.</t>
        </is>
      </c>
      <c r="I116" s="5" t="inlineStr">
        <is>
          <t>Medium</t>
        </is>
      </c>
      <c r="J116" s="5" t="inlineStr">
        <is>
          <t>Not run</t>
        </is>
      </c>
      <c r="K116" s="5" t="inlineStr"/>
      <c r="L116" s="5" t="inlineStr"/>
      <c r="M116" s="5" t="inlineStr"/>
    </row>
    <row r="117">
      <c r="A117" s="5" t="inlineStr">
        <is>
          <t>GN-08</t>
        </is>
      </c>
      <c r="B117" s="5" t="inlineStr">
        <is>
          <t>General</t>
        </is>
      </c>
      <c r="C117" s="5" t="inlineStr">
        <is>
          <t>Any</t>
        </is>
      </c>
      <c r="D117" s="5" t="inlineStr">
        <is>
          <t>Phone + Computer</t>
        </is>
      </c>
      <c r="E117" s="5" t="inlineStr">
        <is>
          <t>Slow internet</t>
        </is>
      </c>
      <c r="F117" s="5" t="inlineStr">
        <is>
          <t>In Chrome, use a slow connection (or weak mobile signal). Open Today and Students.</t>
        </is>
      </c>
      <c r="G117" s="5" t="inlineStr"/>
      <c r="H117" s="5" t="inlineStr">
        <is>
          <t>Pages show a loading state and then load; nothing breaks.</t>
        </is>
      </c>
      <c r="I117" s="5" t="inlineStr">
        <is>
          <t>Low</t>
        </is>
      </c>
      <c r="J117" s="5" t="inlineStr">
        <is>
          <t>Not run</t>
        </is>
      </c>
      <c r="K117" s="5" t="inlineStr"/>
      <c r="L117" s="5" t="inlineStr"/>
      <c r="M117" s="5" t="inlineStr"/>
    </row>
  </sheetData>
  <autoFilter ref="A1:M117"/>
  <conditionalFormatting sqref="J2:J117">
    <cfRule type="expression" priority="1" dxfId="0">
      <formula>$J2="Pass"</formula>
    </cfRule>
    <cfRule type="expression" priority="2" dxfId="1">
      <formula>$J2="Fail"</formula>
    </cfRule>
    <cfRule type="expression" priority="3" dxfId="2">
      <formula>$J2="Blocked"</formula>
    </cfRule>
    <cfRule type="expression" priority="4" dxfId="3">
      <formula>$J2="Skipped"</formula>
    </cfRule>
  </conditionalFormatting>
  <conditionalFormatting sqref="I2:I117">
    <cfRule type="expression" priority="5" dxfId="4">
      <formula>$I2="High"</formula>
    </cfRule>
  </conditionalFormatting>
  <dataValidations count="1">
    <dataValidation sqref="J2:J117" showDropDown="0" showInputMessage="0" showErrorMessage="0" allowBlank="0" type="list">
      <formula1>"Not run,Pass,Fail,Blocked,Skipped"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24" customWidth="1" min="5" max="5"/>
    <col width="70" customWidth="1" min="6" max="6"/>
  </cols>
  <sheetData>
    <row r="1" ht="30" customHeight="1">
      <c r="A1" s="4" t="inlineStr">
        <is>
          <t>Role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Mobile</t>
        </is>
      </c>
      <c r="E1" s="4" t="inlineStr">
        <is>
          <t>Password</t>
        </is>
      </c>
      <c r="F1" s="4" t="inlineStr">
        <is>
          <t>What to use it for</t>
        </is>
      </c>
    </row>
    <row r="2">
      <c r="A2" s="5" t="inlineStr">
        <is>
          <t>Teacher</t>
        </is>
      </c>
      <c r="B2" s="5" t="inlineStr">
        <is>
          <t>Sunita Patil</t>
        </is>
      </c>
      <c r="C2" s="5" t="inlineStr">
        <is>
          <t>sunita@demo.test</t>
        </is>
      </c>
      <c r="D2" s="5" t="inlineStr">
        <is>
          <t>9820000004</t>
        </is>
      </c>
      <c r="E2" s="5" t="inlineStr">
        <is>
          <t>password123</t>
        </is>
      </c>
      <c r="F2" s="5" t="inlineStr">
        <is>
          <t>Class teacher of Std 1 A. Std 1 A attendance is not taken today.</t>
        </is>
      </c>
    </row>
    <row r="3">
      <c r="A3" s="5" t="inlineStr">
        <is>
          <t>Teacher</t>
        </is>
      </c>
      <c r="B3" s="5" t="inlineStr">
        <is>
          <t>Rahul Verma</t>
        </is>
      </c>
      <c r="C3" s="5" t="inlineStr">
        <is>
          <t>rahul@demo.test</t>
        </is>
      </c>
      <c r="D3" s="5" t="inlineStr">
        <is>
          <t>9820000005</t>
        </is>
      </c>
      <c r="E3" s="5" t="inlineStr">
        <is>
          <t>password123</t>
        </is>
      </c>
      <c r="F3" s="5" t="inlineStr">
        <is>
          <t>Class teacher of Std 5 A; teaches Maths and English in Std 5, 6, 7.</t>
        </is>
      </c>
    </row>
    <row r="4">
      <c r="A4" s="5" t="inlineStr">
        <is>
          <t>Teacher</t>
        </is>
      </c>
      <c r="B4" s="5" t="inlineStr">
        <is>
          <t>Kavita Jadhav</t>
        </is>
      </c>
      <c r="C4" s="5" t="inlineStr">
        <is>
          <t>kavita@demo.test</t>
        </is>
      </c>
      <c r="D4" s="5" t="inlineStr">
        <is>
          <t>9820000006</t>
        </is>
      </c>
      <c r="E4" s="5" t="inlineStr">
        <is>
          <t>password123</t>
        </is>
      </c>
      <c r="F4" s="5" t="inlineStr">
        <is>
          <t>Class teacher of Std 2 A and Std 3 A. Std 3 A attendance is not taken today.</t>
        </is>
      </c>
    </row>
    <row r="5">
      <c r="A5" s="5" t="inlineStr">
        <is>
          <t>New teacher</t>
        </is>
      </c>
      <c r="B5" s="5" t="inlineStr">
        <is>
          <t>Neha Joshi</t>
        </is>
      </c>
      <c r="C5" s="5" t="inlineStr">
        <is>
          <t>newteacher@demo.test</t>
        </is>
      </c>
      <c r="D5" s="5" t="inlineStr">
        <is>
          <t>9820000011</t>
        </is>
      </c>
      <c r="E5" s="5" t="inlineStr">
        <is>
          <t>Welcome@123 (temporary)</t>
        </is>
      </c>
      <c r="F5" s="5" t="inlineStr">
        <is>
          <t>Logs in for the first time: must choose a new password. No class yet.</t>
        </is>
      </c>
    </row>
    <row r="6">
      <c r="A6" s="5" t="inlineStr">
        <is>
          <t>Inactive teacher</t>
        </is>
      </c>
      <c r="B6" s="5" t="inlineStr">
        <is>
          <t>Deepak Rane</t>
        </is>
      </c>
      <c r="C6" s="5" t="inlineStr">
        <is>
          <t>inactive@demo.test</t>
        </is>
      </c>
      <c r="D6" s="5" t="inlineStr">
        <is>
          <t>9820000012</t>
        </is>
      </c>
      <c r="E6" s="5" t="inlineStr">
        <is>
          <t>password123</t>
        </is>
      </c>
      <c r="F6" s="5" t="inlineStr">
        <is>
          <t>Made inactive: must NOT be able to log in.</t>
        </is>
      </c>
    </row>
    <row r="7">
      <c r="A7" s="5" t="inlineStr">
        <is>
          <t>Office clerk</t>
        </is>
      </c>
      <c r="B7" s="5" t="inlineStr">
        <is>
          <t>Ganesh Pawar</t>
        </is>
      </c>
      <c r="C7" s="5" t="inlineStr">
        <is>
          <t>clerk@demo.test</t>
        </is>
      </c>
      <c r="D7" s="5" t="inlineStr">
        <is>
          <t>9820000003</t>
        </is>
      </c>
      <c r="E7" s="5" t="inlineStr">
        <is>
          <t>password123</t>
        </is>
      </c>
      <c r="F7" s="5" t="inlineStr">
        <is>
          <t>Admits children, imports, health, leaving certificates. Cannot take attendance.</t>
        </is>
      </c>
    </row>
    <row r="8">
      <c r="A8" s="5" t="inlineStr">
        <is>
          <t>Principal</t>
        </is>
      </c>
      <c r="B8" s="5" t="inlineStr">
        <is>
          <t>Anita Deshmukh</t>
        </is>
      </c>
      <c r="C8" s="5" t="inlineStr">
        <is>
          <t>principal@demo.test</t>
        </is>
      </c>
      <c r="D8" s="5" t="inlineStr">
        <is>
          <t>9820000002</t>
        </is>
      </c>
      <c r="E8" s="5" t="inlineStr">
        <is>
          <t>password123</t>
        </is>
      </c>
      <c r="F8" s="5" t="inlineStr">
        <is>
          <t>Runs Signal Shala, Thane: everything in that school.</t>
        </is>
      </c>
    </row>
    <row r="9">
      <c r="A9" s="5" t="inlineStr">
        <is>
          <t>Trust owner</t>
        </is>
      </c>
      <c r="B9" s="5" t="inlineStr">
        <is>
          <t>Meera Kulkarni</t>
        </is>
      </c>
      <c r="C9" s="5" t="inlineStr">
        <is>
          <t>owner@demo.test</t>
        </is>
      </c>
      <c r="D9" s="5" t="inlineStr">
        <is>
          <t>9820000001</t>
        </is>
      </c>
      <c r="E9" s="5" t="inlineStr">
        <is>
          <t>password123</t>
        </is>
      </c>
      <c r="F9" s="5" t="inlineStr">
        <is>
          <t>Sees both schools (Thane and Nerul). Can add schools.</t>
        </is>
      </c>
    </row>
    <row r="10">
      <c r="A10" s="5" t="inlineStr">
        <is>
          <t>Teacher (2nd school)</t>
        </is>
      </c>
      <c r="B10" s="5" t="inlineStr">
        <is>
          <t>Imran Shaikh</t>
        </is>
      </c>
      <c r="C10" s="5" t="inlineStr">
        <is>
          <t>imran@demo.test</t>
        </is>
      </c>
      <c r="D10" s="5" t="inlineStr">
        <is>
          <t>9820000010</t>
        </is>
      </c>
      <c r="E10" s="5" t="inlineStr">
        <is>
          <t>password123</t>
        </is>
      </c>
      <c r="F10" s="5" t="inlineStr">
        <is>
          <t>Teacher at Signal Shala, Nerul (that school uses the "Marigold" look).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  <col width="50" customWidth="1" min="4" max="4"/>
  </cols>
  <sheetData>
    <row r="1" ht="30" customHeight="1">
      <c r="A1" s="4" t="inlineStr">
        <is>
          <t>Child</t>
        </is>
      </c>
      <c r="B1" s="4" t="inlineStr">
        <is>
          <t>Class</t>
        </is>
      </c>
      <c r="C1" s="4" t="inlineStr">
        <is>
          <t>About</t>
        </is>
      </c>
      <c r="D1" s="4" t="inlineStr">
        <is>
          <t>Used for</t>
        </is>
      </c>
    </row>
    <row r="2">
      <c r="A2" s="5" t="inlineStr">
        <is>
          <t>Riya Kale</t>
        </is>
      </c>
      <c r="B2" s="5" t="inlineStr">
        <is>
          <t>Std 1 A</t>
        </is>
      </c>
      <c r="C2" s="5" t="inlineStr">
        <is>
          <t>Girl, has a photo. Parent Sunil Kale, 9123400001. Was in Balwadi A last year.</t>
        </is>
      </c>
      <c r="D2" s="5" t="inlineStr">
        <is>
          <t>Search, profile, attendance, diary, health, past years</t>
        </is>
      </c>
    </row>
    <row r="3">
      <c r="A3" s="5" t="inlineStr">
        <is>
          <t>Aryan Mhatre</t>
        </is>
      </c>
      <c r="B3" s="5" t="inlineStr">
        <is>
          <t>Std 1 A</t>
        </is>
      </c>
      <c r="C3" s="5" t="inlineStr">
        <is>
          <t>Boy, NO photo. Parent Kavita Mhatre, 9123400002.</t>
        </is>
      </c>
      <c r="D3" s="5" t="inlineStr">
        <is>
          <t>Adding a photo</t>
        </is>
      </c>
    </row>
    <row r="4">
      <c r="A4" s="5" t="inlineStr">
        <is>
          <t>Ishaan Jagtap</t>
        </is>
      </c>
      <c r="B4" s="5" t="inlineStr">
        <is>
          <t>Std 2 A</t>
        </is>
      </c>
      <c r="C4" s="5" t="inlineStr">
        <is>
          <t>Boy. His birthday is TODAY.</t>
        </is>
      </c>
      <c r="D4" s="5" t="inlineStr">
        <is>
          <t>Birthday line on the Dashboard</t>
        </is>
      </c>
    </row>
    <row r="5">
      <c r="A5" s="5" t="inlineStr">
        <is>
          <t>Swati Gholap</t>
        </is>
      </c>
      <c r="B5" s="5" t="inlineStr">
        <is>
          <t>Std 2 A</t>
        </is>
      </c>
      <c r="C5" s="5" t="inlineStr">
        <is>
          <t>Girl. Last health check-up: "needs a doctor again" (eyes).</t>
        </is>
      </c>
      <c r="D5" s="5" t="inlineStr">
        <is>
          <t>Health follow-up</t>
        </is>
      </c>
    </row>
    <row r="6">
      <c r="A6" s="5" t="inlineStr">
        <is>
          <t>Nikhil Sonawane</t>
        </is>
      </c>
      <c r="B6" s="5" t="inlineStr">
        <is>
          <t>Std 3 A</t>
        </is>
      </c>
      <c r="C6" s="5" t="inlineStr">
        <is>
          <t>Boy, studying.</t>
        </is>
      </c>
      <c r="D6" s="5" t="inlineStr">
        <is>
          <t>Mark as left school + leaving certificate</t>
        </is>
      </c>
    </row>
    <row r="7">
      <c r="A7" s="5" t="inlineStr">
        <is>
          <t>Kiran Thakur</t>
        </is>
      </c>
      <c r="B7" s="5" t="inlineStr">
        <is>
          <t>Std 4 A</t>
        </is>
      </c>
      <c r="C7" s="5" t="inlineStr">
        <is>
          <t>Girl. Absent the last 5 school days, low attendance.</t>
        </is>
      </c>
      <c r="D7" s="5" t="inlineStr">
        <is>
          <t>Dashboard: "Absent several days in a row" and "Children who often miss school"</t>
        </is>
      </c>
    </row>
    <row r="8">
      <c r="A8" s="5" t="inlineStr">
        <is>
          <t>Lata Bhalerao</t>
        </is>
      </c>
      <c r="B8" s="5" t="inlineStr">
        <is>
          <t>Std 2 A (last year)</t>
        </is>
      </c>
      <c r="C8" s="5" t="inlineStr">
        <is>
          <t>Girl. Left school last year (family moved away).</t>
        </is>
      </c>
      <c r="D8" s="5" t="inlineStr">
        <is>
          <t>"Search all years" and Re-admit</t>
        </is>
      </c>
    </row>
    <row r="10">
      <c r="A10" s="6" t="inlineStr">
        <is>
          <t>File (folder test-files)</t>
        </is>
      </c>
      <c r="B10" s="6" t="inlineStr">
        <is>
          <t>What it is</t>
        </is>
      </c>
      <c r="C10" s="6" t="inlineStr">
        <is>
          <t>Used for</t>
        </is>
      </c>
      <c r="D10" s="6" t="n"/>
    </row>
    <row r="11">
      <c r="A11" s="5" t="inlineStr">
        <is>
          <t>child-photo-girl.jpg</t>
        </is>
      </c>
      <c r="B11" s="5" t="inlineStr">
        <is>
          <t>A drawn photo of a girl</t>
        </is>
      </c>
      <c r="C11" s="5" t="inlineStr">
        <is>
          <t>Add / change a child's photo</t>
        </is>
      </c>
      <c r="D11" s="5" t="n"/>
    </row>
    <row r="12">
      <c r="A12" s="5" t="inlineStr">
        <is>
          <t>child-photo-boy.jpg</t>
        </is>
      </c>
      <c r="B12" s="5" t="inlineStr">
        <is>
          <t>A drawn photo of a boy</t>
        </is>
      </c>
      <c r="C12" s="5" t="inlineStr">
        <is>
          <t>Add a photo for Aryan Mhatre</t>
        </is>
      </c>
      <c r="D12" s="5" t="n"/>
    </row>
    <row r="13">
      <c r="A13" s="5" t="inlineStr">
        <is>
          <t>teacher-photo.jpg</t>
        </is>
      </c>
      <c r="B13" s="5" t="inlineStr">
        <is>
          <t>A drawn photo of a woman</t>
        </is>
      </c>
      <c r="C13" s="5" t="inlineStr">
        <is>
          <t>Your own photo on the "Me" page</t>
        </is>
      </c>
      <c r="D13" s="5" t="n"/>
    </row>
    <row r="14">
      <c r="A14" s="5" t="inlineStr">
        <is>
          <t>school-logo.png</t>
        </is>
      </c>
      <c r="B14" s="5" t="inlineStr">
        <is>
          <t>A sample school logo</t>
        </is>
      </c>
      <c r="C14" s="5" t="inlineStr">
        <is>
          <t>School settings: Upload school logo</t>
        </is>
      </c>
      <c r="D14" s="5" t="n"/>
    </row>
    <row r="15">
      <c r="A15" s="5" t="inlineStr">
        <is>
          <t>photo-too-big-9MB.png</t>
        </is>
      </c>
      <c r="B15" s="5" t="inlineStr">
        <is>
          <t>A picture larger than 8 MB</t>
        </is>
      </c>
      <c r="C15" s="5" t="inlineStr">
        <is>
          <t>Must be refused: "The file is too large"</t>
        </is>
      </c>
      <c r="D15" s="5" t="n"/>
    </row>
    <row r="16">
      <c r="A16" s="5" t="inlineStr">
        <is>
          <t>not-a-photo.pdf</t>
        </is>
      </c>
      <c r="B16" s="5" t="inlineStr">
        <is>
          <t>A PDF, not a picture or sheet</t>
        </is>
      </c>
      <c r="C16" s="5" t="inlineStr">
        <is>
          <t>Must be refused: "This file type is not allowed"</t>
        </is>
      </c>
      <c r="D16" s="5" t="n"/>
    </row>
    <row r="17">
      <c r="A17" s="5" t="inlineStr">
        <is>
          <t>students-import-5-good.xlsx</t>
        </is>
      </c>
      <c r="B17" s="5" t="inlineStr">
        <is>
          <t>5 correct children</t>
        </is>
      </c>
      <c r="C17" s="5" t="inlineStr">
        <is>
          <t>Import: all 5 rows ready</t>
        </is>
      </c>
      <c r="D17" s="5" t="n"/>
    </row>
    <row r="18">
      <c r="A18" s="5" t="inlineStr">
        <is>
          <t>students-import-with-errors.xlsx</t>
        </is>
      </c>
      <c r="B18" s="5" t="inlineStr">
        <is>
          <t>5 rows: 1 correct, 4 with mistakes</t>
        </is>
      </c>
      <c r="C18" s="5" t="inlineStr">
        <is>
          <t>Import: 1 ready, 4 show problems</t>
        </is>
      </c>
      <c r="D18" s="5" t="n"/>
    </row>
    <row r="19">
      <c r="A19" s="5" t="inlineStr">
        <is>
          <t>students-import-3-rows.csv</t>
        </is>
      </c>
      <c r="B19" s="5" t="inlineStr">
        <is>
          <t>3 correct children (CSV file)</t>
        </is>
      </c>
      <c r="C19" s="5" t="inlineStr">
        <is>
          <t>Import from a CSV file</t>
        </is>
      </c>
      <c r="D19" s="5" t="n"/>
    </row>
    <row r="21">
      <c r="A21" t="inlineStr">
        <is>
          <t>Schools: Signal Shala, Thane (Balwadi to Std 7, look "Signal Shala") and Signal Shala, Nerul (Balwadi to Std 2, look "Marigold").</t>
        </is>
      </c>
    </row>
    <row r="22">
      <c r="A22" t="inlineStr">
        <is>
          <t>Every day counts as a school day in the test data, so attendance can be tested any day of the week.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40" customWidth="1" min="4" max="4"/>
    <col width="34" customWidth="1" min="5" max="5"/>
    <col width="40" customWidth="1" min="6" max="6"/>
    <col width="22" customWidth="1" min="7" max="7"/>
    <col width="18" customWidth="1" min="8" max="8"/>
    <col width="16" customWidth="1" min="9" max="9"/>
    <col width="12" customWidth="1" min="10" max="10"/>
    <col width="14" customWidth="1" min="11" max="11"/>
  </cols>
  <sheetData>
    <row r="1" ht="30" customHeight="1">
      <c r="A1" s="4" t="inlineStr">
        <is>
          <t>Bug no.</t>
        </is>
      </c>
      <c r="B1" s="4" t="inlineStr">
        <is>
          <t>Test case ID</t>
        </is>
      </c>
      <c r="C1" s="4" t="inlineStr">
        <is>
          <t>Screen</t>
        </is>
      </c>
      <c r="D1" s="4" t="inlineStr">
        <is>
          <t>What happened</t>
        </is>
      </c>
      <c r="E1" s="4" t="inlineStr">
        <is>
          <t>What should happen</t>
        </is>
      </c>
      <c r="F1" s="4" t="inlineStr">
        <is>
          <t>Steps to see it again</t>
        </is>
      </c>
      <c r="G1" s="4" t="inlineStr">
        <is>
          <t>Phone / Computer (model, browser)</t>
        </is>
      </c>
      <c r="H1" s="4" t="inlineStr">
        <is>
          <t>Screenshot file</t>
        </is>
      </c>
      <c r="I1" s="4" t="inlineStr">
        <is>
          <t>How bad (Blocker / Major / Minor / Cosmetic)</t>
        </is>
      </c>
      <c r="J1" s="4" t="inlineStr">
        <is>
          <t>Date</t>
        </is>
      </c>
      <c r="K1" s="4" t="inlineStr">
        <is>
          <t>Fixed? (for developer)</t>
        </is>
      </c>
    </row>
    <row r="2">
      <c r="A2" s="5" t="n">
        <v>1</v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n">
        <v>2</v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n">
        <v>3</v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n">
        <v>4</v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n">
        <v>5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n">
        <v>6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n">
        <v>7</v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n">
        <v>8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n">
        <v>9</v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n">
        <v>10</v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n">
        <v>11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n">
        <v>12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5" t="n">
        <v>13</v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5" t="n">
        <v>14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5" t="n">
        <v>15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5" t="n">
        <v>16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5" t="n">
        <v>17</v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5" t="n">
        <v>18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5" t="n">
        <v>19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5" t="n">
        <v>20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5" t="n">
        <v>21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5" t="n">
        <v>22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5" t="n">
        <v>23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5" t="n">
        <v>24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</row>
    <row r="26">
      <c r="A26" s="5" t="n">
        <v>25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5" t="n">
        <v>26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5" t="n">
        <v>27</v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5" t="n">
        <v>28</v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5" t="n">
        <v>29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5" t="n">
        <v>30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5" t="n">
        <v>31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</row>
    <row r="33">
      <c r="A33" s="5" t="n">
        <v>32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</row>
    <row r="34">
      <c r="A34" s="5" t="n">
        <v>33</v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</row>
    <row r="35">
      <c r="A35" s="5" t="n">
        <v>34</v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s="5" t="n">
        <v>35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</row>
    <row r="37">
      <c r="A37" s="5" t="n">
        <v>36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</row>
    <row r="38">
      <c r="A38" s="5" t="n">
        <v>37</v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</row>
    <row r="39">
      <c r="A39" s="5" t="n">
        <v>38</v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</row>
    <row r="40">
      <c r="A40" s="5" t="n">
        <v>39</v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</row>
    <row r="41">
      <c r="A41" s="5" t="n">
        <v>40</v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</row>
  </sheetData>
  <dataValidations count="1">
    <dataValidation sqref="I2:I41" showDropDown="0" showInputMessage="0" showErrorMessage="0" allowBlank="1" type="list">
      <formula1>"Blocker,Major,Minor,Cosmetic"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7" t="inlineStr">
        <is>
          <t>Area</t>
        </is>
      </c>
      <c r="B1" s="7" t="inlineStr">
        <is>
          <t>Total</t>
        </is>
      </c>
      <c r="C1" s="7" t="inlineStr">
        <is>
          <t>Pass</t>
        </is>
      </c>
      <c r="D1" s="7" t="inlineStr">
        <is>
          <t>Fail</t>
        </is>
      </c>
      <c r="E1" s="7" t="inlineStr">
        <is>
          <t>Blocked</t>
        </is>
      </c>
      <c r="F1" s="7" t="inlineStr">
        <is>
          <t>Skipped</t>
        </is>
      </c>
      <c r="G1" s="7" t="inlineStr">
        <is>
          <t>Not run</t>
        </is>
      </c>
    </row>
    <row r="2">
      <c r="A2" s="8" t="inlineStr">
        <is>
          <t>Login</t>
        </is>
      </c>
      <c r="B2" s="8">
        <f>COUNTIF('Test cases'!$B$2:$B$117,"Login*")</f>
        <v/>
      </c>
      <c r="C2" s="8">
        <f>COUNTIFS('Test cases'!$B$2:$B$117,"Login*",'Test cases'!$J$2:$J$117,"Pass")</f>
        <v/>
      </c>
      <c r="D2" s="8">
        <f>COUNTIFS('Test cases'!$B$2:$B$117,"Login*",'Test cases'!$J$2:$J$117,"Fail")</f>
        <v/>
      </c>
      <c r="E2" s="8">
        <f>COUNTIFS('Test cases'!$B$2:$B$117,"Login*",'Test cases'!$J$2:$J$117,"Blocked")</f>
        <v/>
      </c>
      <c r="F2" s="8">
        <f>COUNTIFS('Test cases'!$B$2:$B$117,"Login*",'Test cases'!$J$2:$J$117,"Skipped")</f>
        <v/>
      </c>
      <c r="G2" s="8">
        <f>COUNTIFS('Test cases'!$B$2:$B$117,"Login*",'Test cases'!$J$2:$J$117,"Not run")</f>
        <v/>
      </c>
    </row>
    <row r="3">
      <c r="A3" s="8" t="inlineStr">
        <is>
          <t>Teacher</t>
        </is>
      </c>
      <c r="B3" s="8">
        <f>COUNTIF('Test cases'!$B$2:$B$117,"Teacher*")</f>
        <v/>
      </c>
      <c r="C3" s="8">
        <f>COUNTIFS('Test cases'!$B$2:$B$117,"Teacher*",'Test cases'!$J$2:$J$117,"Pass")</f>
        <v/>
      </c>
      <c r="D3" s="8">
        <f>COUNTIFS('Test cases'!$B$2:$B$117,"Teacher*",'Test cases'!$J$2:$J$117,"Fail")</f>
        <v/>
      </c>
      <c r="E3" s="8">
        <f>COUNTIFS('Test cases'!$B$2:$B$117,"Teacher*",'Test cases'!$J$2:$J$117,"Blocked")</f>
        <v/>
      </c>
      <c r="F3" s="8">
        <f>COUNTIFS('Test cases'!$B$2:$B$117,"Teacher*",'Test cases'!$J$2:$J$117,"Skipped")</f>
        <v/>
      </c>
      <c r="G3" s="8">
        <f>COUNTIFS('Test cases'!$B$2:$B$117,"Teacher*",'Test cases'!$J$2:$J$117,"Not run")</f>
        <v/>
      </c>
    </row>
    <row r="4">
      <c r="A4" s="8" t="inlineStr">
        <is>
          <t>Office clerk</t>
        </is>
      </c>
      <c r="B4" s="8">
        <f>COUNTIF('Test cases'!$B$2:$B$117,"Office clerk*")</f>
        <v/>
      </c>
      <c r="C4" s="8">
        <f>COUNTIFS('Test cases'!$B$2:$B$117,"Office clerk*",'Test cases'!$J$2:$J$117,"Pass")</f>
        <v/>
      </c>
      <c r="D4" s="8">
        <f>COUNTIFS('Test cases'!$B$2:$B$117,"Office clerk*",'Test cases'!$J$2:$J$117,"Fail")</f>
        <v/>
      </c>
      <c r="E4" s="8">
        <f>COUNTIFS('Test cases'!$B$2:$B$117,"Office clerk*",'Test cases'!$J$2:$J$117,"Blocked")</f>
        <v/>
      </c>
      <c r="F4" s="8">
        <f>COUNTIFS('Test cases'!$B$2:$B$117,"Office clerk*",'Test cases'!$J$2:$J$117,"Skipped")</f>
        <v/>
      </c>
      <c r="G4" s="8">
        <f>COUNTIFS('Test cases'!$B$2:$B$117,"Office clerk*",'Test cases'!$J$2:$J$117,"Not run")</f>
        <v/>
      </c>
    </row>
    <row r="5">
      <c r="A5" s="8" t="inlineStr">
        <is>
          <t>Principal</t>
        </is>
      </c>
      <c r="B5" s="8">
        <f>COUNTIF('Test cases'!$B$2:$B$117,"Principal*")</f>
        <v/>
      </c>
      <c r="C5" s="8">
        <f>COUNTIFS('Test cases'!$B$2:$B$117,"Principal*",'Test cases'!$J$2:$J$117,"Pass")</f>
        <v/>
      </c>
      <c r="D5" s="8">
        <f>COUNTIFS('Test cases'!$B$2:$B$117,"Principal*",'Test cases'!$J$2:$J$117,"Fail")</f>
        <v/>
      </c>
      <c r="E5" s="8">
        <f>COUNTIFS('Test cases'!$B$2:$B$117,"Principal*",'Test cases'!$J$2:$J$117,"Blocked")</f>
        <v/>
      </c>
      <c r="F5" s="8">
        <f>COUNTIFS('Test cases'!$B$2:$B$117,"Principal*",'Test cases'!$J$2:$J$117,"Skipped")</f>
        <v/>
      </c>
      <c r="G5" s="8">
        <f>COUNTIFS('Test cases'!$B$2:$B$117,"Principal*",'Test cases'!$J$2:$J$117,"Not run")</f>
        <v/>
      </c>
    </row>
    <row r="6">
      <c r="A6" s="8" t="inlineStr">
        <is>
          <t>Trust owner</t>
        </is>
      </c>
      <c r="B6" s="8">
        <f>COUNTIF('Test cases'!$B$2:$B$117,"Trust owner*")</f>
        <v/>
      </c>
      <c r="C6" s="8">
        <f>COUNTIFS('Test cases'!$B$2:$B$117,"Trust owner*",'Test cases'!$J$2:$J$117,"Pass")</f>
        <v/>
      </c>
      <c r="D6" s="8">
        <f>COUNTIFS('Test cases'!$B$2:$B$117,"Trust owner*",'Test cases'!$J$2:$J$117,"Fail")</f>
        <v/>
      </c>
      <c r="E6" s="8">
        <f>COUNTIFS('Test cases'!$B$2:$B$117,"Trust owner*",'Test cases'!$J$2:$J$117,"Blocked")</f>
        <v/>
      </c>
      <c r="F6" s="8">
        <f>COUNTIFS('Test cases'!$B$2:$B$117,"Trust owner*",'Test cases'!$J$2:$J$117,"Skipped")</f>
        <v/>
      </c>
      <c r="G6" s="8">
        <f>COUNTIFS('Test cases'!$B$2:$B$117,"Trust owner*",'Test cases'!$J$2:$J$117,"Not run")</f>
        <v/>
      </c>
    </row>
    <row r="7">
      <c r="A7" s="8" t="inlineStr">
        <is>
          <t>Looks</t>
        </is>
      </c>
      <c r="B7" s="8">
        <f>COUNTIF('Test cases'!$B$2:$B$117,"Looks*")</f>
        <v/>
      </c>
      <c r="C7" s="8">
        <f>COUNTIFS('Test cases'!$B$2:$B$117,"Looks*",'Test cases'!$J$2:$J$117,"Pass")</f>
        <v/>
      </c>
      <c r="D7" s="8">
        <f>COUNTIFS('Test cases'!$B$2:$B$117,"Looks*",'Test cases'!$J$2:$J$117,"Fail")</f>
        <v/>
      </c>
      <c r="E7" s="8">
        <f>COUNTIFS('Test cases'!$B$2:$B$117,"Looks*",'Test cases'!$J$2:$J$117,"Blocked")</f>
        <v/>
      </c>
      <c r="F7" s="8">
        <f>COUNTIFS('Test cases'!$B$2:$B$117,"Looks*",'Test cases'!$J$2:$J$117,"Skipped")</f>
        <v/>
      </c>
      <c r="G7" s="8">
        <f>COUNTIFS('Test cases'!$B$2:$B$117,"Looks*",'Test cases'!$J$2:$J$117,"Not run")</f>
        <v/>
      </c>
    </row>
    <row r="8">
      <c r="A8" s="8" t="inlineStr">
        <is>
          <t>General</t>
        </is>
      </c>
      <c r="B8" s="8">
        <f>COUNTIF('Test cases'!$B$2:$B$117,"General*")</f>
        <v/>
      </c>
      <c r="C8" s="8">
        <f>COUNTIFS('Test cases'!$B$2:$B$117,"General*",'Test cases'!$J$2:$J$117,"Pass")</f>
        <v/>
      </c>
      <c r="D8" s="8">
        <f>COUNTIFS('Test cases'!$B$2:$B$117,"General*",'Test cases'!$J$2:$J$117,"Fail")</f>
        <v/>
      </c>
      <c r="E8" s="8">
        <f>COUNTIFS('Test cases'!$B$2:$B$117,"General*",'Test cases'!$J$2:$J$117,"Blocked")</f>
        <v/>
      </c>
      <c r="F8" s="8">
        <f>COUNTIFS('Test cases'!$B$2:$B$117,"General*",'Test cases'!$J$2:$J$117,"Skipped")</f>
        <v/>
      </c>
      <c r="G8" s="8">
        <f>COUNTIFS('Test cases'!$B$2:$B$117,"General*",'Test cases'!$J$2:$J$117,"Not run")</f>
        <v/>
      </c>
    </row>
    <row r="9">
      <c r="A9" s="9" t="inlineStr">
        <is>
          <t>All tests</t>
        </is>
      </c>
      <c r="B9" s="9">
        <f>COUNTA('Test cases'!$J$2:$J$117)</f>
        <v/>
      </c>
      <c r="C9" s="9">
        <f>COUNTIF('Test cases'!$J$2:$J$117,"Pass")</f>
        <v/>
      </c>
      <c r="D9" s="9">
        <f>COUNTIF('Test cases'!$J$2:$J$117,"Fail")</f>
        <v/>
      </c>
      <c r="E9" s="9">
        <f>COUNTIF('Test cases'!$J$2:$J$117,"Blocked")</f>
        <v/>
      </c>
      <c r="F9" s="9">
        <f>COUNTIF('Test cases'!$J$2:$J$117,"Skipped")</f>
        <v/>
      </c>
      <c r="G9" s="9">
        <f>COUNTIF('Test cases'!$J$2:$J$117,"Not run")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2026-10-11T10:34:23Z</dcterms:created>
  <dcterms:modified xsi:type="dcterms:W3CDTF">2026-10-11T10:34:23Z</dcterms:modified>
</cp:coreProperties>
</file>